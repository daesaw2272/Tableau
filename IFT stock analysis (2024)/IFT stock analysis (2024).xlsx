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ng\Downloads\"/>
    </mc:Choice>
  </mc:AlternateContent>
  <xr:revisionPtr revIDLastSave="0" documentId="8_{621ABB2E-8CB3-4DFA-9F7F-D7D0EFE11CBF}" xr6:coauthVersionLast="47" xr6:coauthVersionMax="47" xr10:uidLastSave="{00000000-0000-0000-0000-000000000000}"/>
  <bookViews>
    <workbookView xWindow="-120" yWindow="-120" windowWidth="38640" windowHeight="21120" activeTab="7" xr2:uid="{33CCA853-FE1E-450D-8A77-6F5AAC8B35B1}"/>
  </bookViews>
  <sheets>
    <sheet name="Price History" sheetId="1" r:id="rId1"/>
    <sheet name="Stock vs volumn" sheetId="2" r:id="rId2"/>
    <sheet name="stockchart" sheetId="6" r:id="rId3"/>
    <sheet name="Capital vs Issued shares" sheetId="7" r:id="rId4"/>
    <sheet name="Dividend Yield" sheetId="8" r:id="rId5"/>
    <sheet name="Yearly Portfolio" sheetId="4" r:id="rId6"/>
    <sheet name="1xtrade" sheetId="5" r:id="rId7"/>
    <sheet name="Sheet2" sheetId="9" r:id="rId8"/>
  </sheets>
  <definedNames>
    <definedName name="_xlnm._FilterDatabase" localSheetId="0" hidden="1">'Price History'!$C$1:$C$255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5" l="1"/>
  <c r="Q3" i="5"/>
  <c r="K3" i="9"/>
  <c r="J2" i="9"/>
  <c r="K2" i="9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" i="8"/>
  <c r="R3" i="5"/>
  <c r="R2" i="5"/>
  <c r="P3" i="4"/>
  <c r="O3" i="4"/>
  <c r="O2" i="4"/>
  <c r="L2" i="4"/>
  <c r="L3" i="4" s="1"/>
  <c r="M3" i="4" s="1"/>
  <c r="U2" i="9"/>
  <c r="T2" i="5"/>
  <c r="P3" i="5"/>
  <c r="P2" i="5"/>
  <c r="Q2" i="5" s="1"/>
  <c r="M2" i="9" l="1"/>
  <c r="M3" i="9" s="1"/>
  <c r="N3" i="9" s="1"/>
  <c r="G5" i="9" s="1"/>
  <c r="T3" i="5"/>
  <c r="M2" i="4"/>
  <c r="J5" i="9" l="1"/>
  <c r="N5" i="9"/>
  <c r="O5" i="9" s="1"/>
  <c r="N2" i="9"/>
  <c r="O2" i="9" s="1"/>
  <c r="O3" i="9"/>
  <c r="N2" i="4"/>
  <c r="N3" i="4" s="1"/>
  <c r="K5" i="9" l="1"/>
  <c r="M5" i="9" s="1"/>
  <c r="J6" i="9"/>
  <c r="K6" i="9" s="1"/>
  <c r="P2" i="4"/>
  <c r="Q2" i="4" s="1"/>
  <c r="M6" i="9" l="1"/>
  <c r="N6" i="9" s="1"/>
  <c r="Q3" i="4"/>
  <c r="G8" i="9" l="1"/>
  <c r="O6" i="9"/>
  <c r="N8" i="9" l="1"/>
  <c r="O8" i="9" s="1"/>
  <c r="J8" i="9"/>
  <c r="K8" i="9" l="1"/>
  <c r="M8" i="9" s="1"/>
  <c r="J9" i="9"/>
  <c r="K9" i="9" s="1"/>
  <c r="M9" i="9" l="1"/>
  <c r="N9" i="9" s="1"/>
  <c r="O9" i="9" l="1"/>
  <c r="G11" i="9"/>
  <c r="J11" i="9" l="1"/>
  <c r="N11" i="9"/>
  <c r="O11" i="9" s="1"/>
  <c r="K11" i="9" l="1"/>
  <c r="M11" i="9" s="1"/>
  <c r="J12" i="9"/>
  <c r="K12" i="9" s="1"/>
  <c r="M12" i="9" l="1"/>
  <c r="N12" i="9" s="1"/>
  <c r="O12" i="9" l="1"/>
  <c r="T3" i="9"/>
  <c r="U3" i="9" s="1"/>
</calcChain>
</file>

<file path=xl/sharedStrings.xml><?xml version="1.0" encoding="utf-8"?>
<sst xmlns="http://schemas.openxmlformats.org/spreadsheetml/2006/main" count="587" uniqueCount="32">
  <si>
    <t>ASX Code</t>
  </si>
  <si>
    <t>Date</t>
  </si>
  <si>
    <t>Open</t>
  </si>
  <si>
    <t>High</t>
  </si>
  <si>
    <t>Low</t>
  </si>
  <si>
    <t>Close</t>
  </si>
  <si>
    <t>Volume</t>
  </si>
  <si>
    <t>Market Capitalisation($m)</t>
  </si>
  <si>
    <t>Shares on Issue</t>
  </si>
  <si>
    <t>IFT</t>
  </si>
  <si>
    <t>date</t>
  </si>
  <si>
    <t>price</t>
  </si>
  <si>
    <t>shares</t>
  </si>
  <si>
    <t>sharevalue</t>
  </si>
  <si>
    <t>cash in hand</t>
  </si>
  <si>
    <t>total values</t>
  </si>
  <si>
    <t>Dividend</t>
  </si>
  <si>
    <t>Profit</t>
  </si>
  <si>
    <t>Start Money</t>
  </si>
  <si>
    <t>Note</t>
  </si>
  <si>
    <t>Buy</t>
  </si>
  <si>
    <t>Sell</t>
  </si>
  <si>
    <t>Amount</t>
  </si>
  <si>
    <t>Start</t>
  </si>
  <si>
    <t>Total Profit</t>
  </si>
  <si>
    <t>End</t>
  </si>
  <si>
    <t>Total values</t>
  </si>
  <si>
    <t>Cash in hand</t>
  </si>
  <si>
    <t>Sharevalue</t>
  </si>
  <si>
    <t>Shares</t>
  </si>
  <si>
    <t>Price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</si>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</sst>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#,##0.00##"/>
    <numFmt numFmtId="165" formatCode="d/mm/yyyy;@"/>
    <numFmt numFmtId="166" formatCode="&quot;$&quot;#,##0.00"/>
    <numFmt numFmtId="167" formatCode="dd\.mm\.yyyy;@"/>
  </numFmts>
  <fonts count="21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right"/>
    </xf>
    <xf numFmtId="0" fontId="18" fillId="3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18" fillId="33" borderId="0" xfId="0" applyNumberFormat="1" applyFont="1" applyFill="1" applyAlignment="1">
      <alignment horizontal="center"/>
    </xf>
    <xf numFmtId="4" fontId="0" fillId="0" borderId="0" xfId="0" applyNumberFormat="1"/>
    <xf numFmtId="166" fontId="18" fillId="33" borderId="0" xfId="0" applyNumberFormat="1" applyFont="1" applyFill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0" fontId="0" fillId="0" borderId="0" xfId="0" applyNumberFormat="1"/>
    <xf numFmtId="166" fontId="0" fillId="0" borderId="14" xfId="0" applyNumberFormat="1" applyBorder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15" xfId="0" applyBorder="1" applyAlignment="1">
      <alignment horizontal="right"/>
    </xf>
    <xf numFmtId="166" fontId="0" fillId="35" borderId="14" xfId="0" applyNumberFormat="1" applyFill="1" applyBorder="1" applyAlignment="1">
      <alignment horizontal="right"/>
    </xf>
    <xf numFmtId="166" fontId="0" fillId="35" borderId="0" xfId="0" applyNumberFormat="1" applyFill="1" applyAlignment="1">
      <alignment horizontal="right"/>
    </xf>
    <xf numFmtId="0" fontId="0" fillId="35" borderId="0" xfId="0" applyFill="1" applyAlignment="1">
      <alignment horizontal="right"/>
    </xf>
    <xf numFmtId="10" fontId="0" fillId="35" borderId="0" xfId="0" applyNumberFormat="1" applyFill="1" applyAlignment="1">
      <alignment horizontal="right"/>
    </xf>
    <xf numFmtId="0" fontId="19" fillId="35" borderId="15" xfId="0" applyFont="1" applyFill="1" applyBorder="1" applyAlignment="1">
      <alignment horizontal="right"/>
    </xf>
    <xf numFmtId="166" fontId="0" fillId="35" borderId="16" xfId="0" applyNumberFormat="1" applyFill="1" applyBorder="1" applyAlignment="1">
      <alignment horizontal="right"/>
    </xf>
    <xf numFmtId="166" fontId="0" fillId="35" borderId="17" xfId="0" applyNumberFormat="1" applyFill="1" applyBorder="1" applyAlignment="1">
      <alignment horizontal="right"/>
    </xf>
    <xf numFmtId="0" fontId="19" fillId="35" borderId="17" xfId="0" applyFont="1" applyFill="1" applyBorder="1" applyAlignment="1">
      <alignment horizontal="right"/>
    </xf>
    <xf numFmtId="10" fontId="0" fillId="35" borderId="17" xfId="0" applyNumberFormat="1" applyFill="1" applyBorder="1" applyAlignment="1">
      <alignment horizontal="right"/>
    </xf>
    <xf numFmtId="0" fontId="19" fillId="35" borderId="18" xfId="0" applyFont="1" applyFill="1" applyBorder="1" applyAlignment="1">
      <alignment horizontal="right"/>
    </xf>
    <xf numFmtId="166" fontId="0" fillId="35" borderId="19" xfId="0" applyNumberFormat="1" applyFill="1" applyBorder="1" applyAlignment="1">
      <alignment horizontal="right"/>
    </xf>
    <xf numFmtId="166" fontId="0" fillId="35" borderId="20" xfId="0" applyNumberFormat="1" applyFill="1" applyBorder="1" applyAlignment="1">
      <alignment horizontal="right"/>
    </xf>
    <xf numFmtId="0" fontId="0" fillId="35" borderId="20" xfId="0" applyFill="1" applyBorder="1" applyAlignment="1">
      <alignment horizontal="right"/>
    </xf>
    <xf numFmtId="10" fontId="0" fillId="35" borderId="20" xfId="0" applyNumberFormat="1" applyFill="1" applyBorder="1" applyAlignment="1">
      <alignment horizontal="right"/>
    </xf>
    <xf numFmtId="0" fontId="19" fillId="35" borderId="21" xfId="0" applyFont="1" applyFill="1" applyBorder="1" applyAlignment="1">
      <alignment horizontal="right"/>
    </xf>
    <xf numFmtId="166" fontId="0" fillId="35" borderId="22" xfId="0" applyNumberFormat="1" applyFill="1" applyBorder="1" applyAlignment="1">
      <alignment horizontal="right"/>
    </xf>
    <xf numFmtId="166" fontId="0" fillId="35" borderId="23" xfId="0" applyNumberFormat="1" applyFill="1" applyBorder="1" applyAlignment="1">
      <alignment horizontal="right"/>
    </xf>
    <xf numFmtId="0" fontId="0" fillId="35" borderId="23" xfId="0" applyFill="1" applyBorder="1" applyAlignment="1">
      <alignment horizontal="right"/>
    </xf>
    <xf numFmtId="10" fontId="0" fillId="35" borderId="23" xfId="0" applyNumberFormat="1" applyFill="1" applyBorder="1" applyAlignment="1">
      <alignment horizontal="right"/>
    </xf>
    <xf numFmtId="0" fontId="19" fillId="35" borderId="24" xfId="0" applyFont="1" applyFill="1" applyBorder="1" applyAlignment="1">
      <alignment horizontal="right"/>
    </xf>
    <xf numFmtId="166" fontId="20" fillId="36" borderId="11" xfId="0" applyNumberFormat="1" applyFont="1" applyFill="1" applyBorder="1" applyAlignment="1">
      <alignment horizontal="center"/>
    </xf>
    <xf numFmtId="0" fontId="20" fillId="36" borderId="12" xfId="0" applyFont="1" applyFill="1" applyBorder="1" applyAlignment="1">
      <alignment horizontal="center"/>
    </xf>
    <xf numFmtId="166" fontId="20" fillId="36" borderId="12" xfId="0" applyNumberFormat="1" applyFont="1" applyFill="1" applyBorder="1" applyAlignment="1">
      <alignment horizontal="center"/>
    </xf>
    <xf numFmtId="10" fontId="20" fillId="36" borderId="12" xfId="0" applyNumberFormat="1" applyFont="1" applyFill="1" applyBorder="1" applyAlignment="1">
      <alignment horizontal="center"/>
    </xf>
    <xf numFmtId="166" fontId="20" fillId="36" borderId="13" xfId="0" applyNumberFormat="1" applyFont="1" applyFill="1" applyBorder="1" applyAlignment="1">
      <alignment horizontal="center"/>
    </xf>
    <xf numFmtId="166" fontId="0" fillId="0" borderId="10" xfId="0" applyNumberFormat="1" applyBorder="1" applyAlignment="1">
      <alignment horizontal="right"/>
    </xf>
    <xf numFmtId="167" fontId="20" fillId="36" borderId="12" xfId="0" applyNumberFormat="1" applyFont="1" applyFill="1" applyBorder="1" applyAlignment="1">
      <alignment horizontal="center"/>
    </xf>
    <xf numFmtId="167" fontId="0" fillId="35" borderId="0" xfId="0" applyNumberFormat="1" applyFill="1" applyAlignment="1">
      <alignment horizontal="right"/>
    </xf>
    <xf numFmtId="167" fontId="0" fillId="35" borderId="23" xfId="0" applyNumberFormat="1" applyFill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35" borderId="20" xfId="0" applyNumberFormat="1" applyFill="1" applyBorder="1" applyAlignment="1">
      <alignment horizontal="right"/>
    </xf>
    <xf numFmtId="167" fontId="0" fillId="35" borderId="17" xfId="0" applyNumberFormat="1" applyFill="1" applyBorder="1" applyAlignment="1">
      <alignment horizontal="right"/>
    </xf>
    <xf numFmtId="167" fontId="0" fillId="0" borderId="0" xfId="0" applyNumberFormat="1"/>
    <xf numFmtId="167" fontId="18" fillId="33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6" fontId="18" fillId="34" borderId="25" xfId="0" applyNumberFormat="1" applyFont="1" applyFill="1" applyBorder="1" applyAlignment="1">
      <alignment horizontal="center"/>
    </xf>
    <xf numFmtId="166" fontId="19" fillId="0" borderId="0" xfId="0" applyNumberFormat="1" applyFont="1"/>
    <xf numFmtId="0" fontId="19" fillId="35" borderId="27" xfId="0" applyFont="1" applyFill="1" applyBorder="1"/>
    <xf numFmtId="164" fontId="0" fillId="0" borderId="28" xfId="0" applyNumberFormat="1" applyBorder="1"/>
    <xf numFmtId="0" fontId="19" fillId="0" borderId="26" xfId="0" applyFont="1" applyBorder="1"/>
    <xf numFmtId="0" fontId="0" fillId="0" borderId="16" xfId="0" applyBorder="1"/>
    <xf numFmtId="6" fontId="20" fillId="35" borderId="29" xfId="0" applyNumberFormat="1" applyFont="1" applyFill="1" applyBorder="1"/>
    <xf numFmtId="0" fontId="20" fillId="35" borderId="27" xfId="0" applyFont="1" applyFill="1" applyBorder="1"/>
    <xf numFmtId="0" fontId="0" fillId="0" borderId="30" xfId="0" applyBorder="1"/>
    <xf numFmtId="10" fontId="0" fillId="0" borderId="31" xfId="0" applyNumberFormat="1" applyBorder="1"/>
    <xf numFmtId="0" fontId="20" fillId="35" borderId="10" xfId="0" applyFont="1" applyFill="1" applyBorder="1"/>
    <xf numFmtId="14" fontId="0" fillId="0" borderId="10" xfId="0" applyNumberFormat="1" applyBorder="1"/>
    <xf numFmtId="8" fontId="0" fillId="0" borderId="10" xfId="0" applyNumberFormat="1" applyBorder="1"/>
    <xf numFmtId="1" fontId="0" fillId="0" borderId="10" xfId="0" applyNumberFormat="1" applyBorder="1"/>
    <xf numFmtId="166" fontId="0" fillId="0" borderId="10" xfId="0" applyNumberFormat="1" applyBorder="1"/>
    <xf numFmtId="166" fontId="19" fillId="0" borderId="10" xfId="0" applyNumberFormat="1" applyFont="1" applyBorder="1"/>
    <xf numFmtId="165" fontId="0" fillId="0" borderId="32" xfId="0" applyNumberFormat="1" applyBorder="1" applyAlignment="1">
      <alignment horizontal="center"/>
    </xf>
    <xf numFmtId="166" fontId="0" fillId="0" borderId="32" xfId="0" applyNumberFormat="1" applyBorder="1"/>
    <xf numFmtId="0" fontId="0" fillId="0" borderId="32" xfId="0" applyBorder="1"/>
    <xf numFmtId="10" fontId="0" fillId="0" borderId="33" xfId="0" applyNumberFormat="1" applyBorder="1"/>
    <xf numFmtId="0" fontId="20" fillId="37" borderId="0" xfId="0" applyFont="1" applyFill="1" applyAlignment="1">
      <alignment horizontal="center"/>
    </xf>
    <xf numFmtId="10" fontId="20" fillId="37" borderId="0" xfId="0" applyNumberFormat="1" applyFont="1" applyFill="1" applyAlignment="1">
      <alignment horizontal="center"/>
    </xf>
    <xf numFmtId="166" fontId="19" fillId="35" borderId="19" xfId="0" applyNumberFormat="1" applyFont="1" applyFill="1" applyBorder="1" applyAlignment="1">
      <alignment horizontal="right"/>
    </xf>
    <xf numFmtId="167" fontId="20" fillId="0" borderId="0" xfId="0" applyNumberFormat="1" applyFont="1" applyAlignment="1">
      <alignment horizontal="center"/>
    </xf>
    <xf numFmtId="0" fontId="20" fillId="36" borderId="34" xfId="0" applyFont="1" applyFill="1" applyBorder="1" applyAlignment="1">
      <alignment horizontal="center"/>
    </xf>
    <xf numFmtId="0" fontId="20" fillId="36" borderId="35" xfId="0" applyFont="1" applyFill="1" applyBorder="1" applyAlignment="1">
      <alignment horizontal="center"/>
    </xf>
    <xf numFmtId="10" fontId="0" fillId="0" borderId="36" xfId="0" applyNumberFormat="1" applyBorder="1" applyAlignment="1">
      <alignment horizontal="right"/>
    </xf>
    <xf numFmtId="0" fontId="19" fillId="0" borderId="16" xfId="0" applyFont="1" applyBorder="1" applyAlignment="1">
      <alignment horizontal="right"/>
    </xf>
    <xf numFmtId="166" fontId="0" fillId="0" borderId="37" xfId="0" applyNumberFormat="1" applyBorder="1" applyAlignment="1">
      <alignment horizontal="right"/>
    </xf>
    <xf numFmtId="10" fontId="0" fillId="0" borderId="33" xfId="0" applyNumberFormat="1" applyBorder="1" applyAlignment="1">
      <alignment horizontal="right"/>
    </xf>
    <xf numFmtId="0" fontId="19" fillId="0" borderId="25" xfId="0" applyFont="1" applyBorder="1" applyAlignment="1">
      <alignment horizontal="left"/>
    </xf>
    <xf numFmtId="166" fontId="19" fillId="0" borderId="30" xfId="0" applyNumberFormat="1" applyFont="1" applyBorder="1" applyAlignment="1">
      <alignment horizontal="right"/>
    </xf>
    <xf numFmtId="167" fontId="0" fillId="35" borderId="37" xfId="0" applyNumberFormat="1" applyFill="1" applyBorder="1" applyAlignment="1">
      <alignment horizontal="right"/>
    </xf>
    <xf numFmtId="167" fontId="0" fillId="35" borderId="38" xfId="0" applyNumberFormat="1" applyFill="1" applyBorder="1" applyAlignment="1">
      <alignment horizontal="right"/>
    </xf>
    <xf numFmtId="167" fontId="20" fillId="36" borderId="34" xfId="0" applyNumberFormat="1" applyFont="1" applyFill="1" applyBorder="1" applyAlignment="1">
      <alignment horizontal="center"/>
    </xf>
    <xf numFmtId="0" fontId="19" fillId="35" borderId="10" xfId="0" applyFont="1" applyFill="1" applyBorder="1"/>
    <xf numFmtId="165" fontId="0" fillId="0" borderId="37" xfId="0" applyNumberFormat="1" applyBorder="1" applyAlignment="1">
      <alignment horizontal="center"/>
    </xf>
    <xf numFmtId="166" fontId="0" fillId="0" borderId="37" xfId="0" applyNumberFormat="1" applyBorder="1"/>
    <xf numFmtId="1" fontId="0" fillId="0" borderId="37" xfId="0" applyNumberFormat="1" applyBorder="1"/>
    <xf numFmtId="10" fontId="0" fillId="0" borderId="36" xfId="0" applyNumberFormat="1" applyBorder="1"/>
    <xf numFmtId="0" fontId="18" fillId="34" borderId="0" xfId="0" applyFont="1" applyFill="1" applyAlignment="1">
      <alignment horizontal="center"/>
    </xf>
    <xf numFmtId="0" fontId="19" fillId="35" borderId="39" xfId="0" applyFont="1" applyFill="1" applyBorder="1"/>
    <xf numFmtId="164" fontId="0" fillId="0" borderId="40" xfId="0" applyNumberFormat="1" applyBorder="1"/>
    <xf numFmtId="14" fontId="0" fillId="0" borderId="10" xfId="0" applyNumberFormat="1" applyBorder="1" applyAlignment="1">
      <alignment horizontal="center"/>
    </xf>
    <xf numFmtId="0" fontId="18" fillId="0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Stock/Volume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752214118034156E-2"/>
          <c:y val="7.3990882717076642E-2"/>
          <c:w val="0.90252155980502435"/>
          <c:h val="0.7792796372181651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'Stock vs volumn'!$C$1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 w="9906">
              <a:solidFill>
                <a:schemeClr val="accent2"/>
              </a:solidFill>
            </a:ln>
            <a:effectLst/>
          </c:spPr>
          <c:invertIfNegative val="0"/>
          <c:dLbls>
            <c:dLbl>
              <c:idx val="36"/>
              <c:layout>
                <c:manualLayout>
                  <c:x val="-6.2964662566253146E-2"/>
                  <c:y val="-3.29389641873992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78-492B-9CB9-C00590802F9A}"/>
                </c:ext>
              </c:extLst>
            </c:dLbl>
            <c:dLbl>
              <c:idx val="183"/>
              <c:layout>
                <c:manualLayout>
                  <c:x val="7.6335663676712642E-2"/>
                  <c:y val="0.163306404741424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78-492B-9CB9-C00590802F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'Stock vs volumn'!$A$2:$A$255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'Stock vs volumn'!$C$2:$C$255</c:f>
              <c:numCache>
                <c:formatCode>#,##0.00##</c:formatCode>
                <c:ptCount val="254"/>
                <c:pt idx="0">
                  <c:v>3743</c:v>
                </c:pt>
                <c:pt idx="1">
                  <c:v>65418</c:v>
                </c:pt>
                <c:pt idx="2">
                  <c:v>38435</c:v>
                </c:pt>
                <c:pt idx="3">
                  <c:v>60329</c:v>
                </c:pt>
                <c:pt idx="4">
                  <c:v>34215</c:v>
                </c:pt>
                <c:pt idx="5">
                  <c:v>22803</c:v>
                </c:pt>
                <c:pt idx="6">
                  <c:v>25378</c:v>
                </c:pt>
                <c:pt idx="7">
                  <c:v>24590</c:v>
                </c:pt>
                <c:pt idx="8">
                  <c:v>24201</c:v>
                </c:pt>
                <c:pt idx="9">
                  <c:v>41724</c:v>
                </c:pt>
                <c:pt idx="10">
                  <c:v>18242</c:v>
                </c:pt>
                <c:pt idx="11">
                  <c:v>20617</c:v>
                </c:pt>
                <c:pt idx="12">
                  <c:v>35375</c:v>
                </c:pt>
                <c:pt idx="13">
                  <c:v>36371</c:v>
                </c:pt>
                <c:pt idx="14">
                  <c:v>15601</c:v>
                </c:pt>
                <c:pt idx="15">
                  <c:v>47914</c:v>
                </c:pt>
                <c:pt idx="16">
                  <c:v>14188</c:v>
                </c:pt>
                <c:pt idx="17">
                  <c:v>28577</c:v>
                </c:pt>
                <c:pt idx="18">
                  <c:v>101838</c:v>
                </c:pt>
                <c:pt idx="19">
                  <c:v>60971</c:v>
                </c:pt>
                <c:pt idx="20">
                  <c:v>194006</c:v>
                </c:pt>
                <c:pt idx="21">
                  <c:v>30892</c:v>
                </c:pt>
                <c:pt idx="22">
                  <c:v>69261</c:v>
                </c:pt>
                <c:pt idx="23">
                  <c:v>34036</c:v>
                </c:pt>
                <c:pt idx="24">
                  <c:v>25472</c:v>
                </c:pt>
                <c:pt idx="25">
                  <c:v>45618</c:v>
                </c:pt>
                <c:pt idx="26">
                  <c:v>21405</c:v>
                </c:pt>
                <c:pt idx="27">
                  <c:v>54642</c:v>
                </c:pt>
                <c:pt idx="28">
                  <c:v>49898</c:v>
                </c:pt>
                <c:pt idx="29">
                  <c:v>15402</c:v>
                </c:pt>
                <c:pt idx="30">
                  <c:v>46973</c:v>
                </c:pt>
                <c:pt idx="31">
                  <c:v>32112</c:v>
                </c:pt>
                <c:pt idx="32">
                  <c:v>52540</c:v>
                </c:pt>
                <c:pt idx="33">
                  <c:v>24759</c:v>
                </c:pt>
                <c:pt idx="34">
                  <c:v>9394</c:v>
                </c:pt>
                <c:pt idx="35">
                  <c:v>40170</c:v>
                </c:pt>
                <c:pt idx="36">
                  <c:v>2505371</c:v>
                </c:pt>
                <c:pt idx="37">
                  <c:v>46783</c:v>
                </c:pt>
                <c:pt idx="38">
                  <c:v>84354</c:v>
                </c:pt>
                <c:pt idx="39">
                  <c:v>45999</c:v>
                </c:pt>
                <c:pt idx="40">
                  <c:v>45026</c:v>
                </c:pt>
                <c:pt idx="41">
                  <c:v>145803</c:v>
                </c:pt>
                <c:pt idx="42">
                  <c:v>53538</c:v>
                </c:pt>
                <c:pt idx="43">
                  <c:v>54766</c:v>
                </c:pt>
                <c:pt idx="44">
                  <c:v>66185</c:v>
                </c:pt>
                <c:pt idx="45">
                  <c:v>23147</c:v>
                </c:pt>
                <c:pt idx="46">
                  <c:v>32083</c:v>
                </c:pt>
                <c:pt idx="47">
                  <c:v>16604</c:v>
                </c:pt>
                <c:pt idx="48">
                  <c:v>51921</c:v>
                </c:pt>
                <c:pt idx="49">
                  <c:v>36408</c:v>
                </c:pt>
                <c:pt idx="50">
                  <c:v>42911</c:v>
                </c:pt>
                <c:pt idx="51">
                  <c:v>58536</c:v>
                </c:pt>
                <c:pt idx="52">
                  <c:v>31890</c:v>
                </c:pt>
                <c:pt idx="53">
                  <c:v>41038</c:v>
                </c:pt>
                <c:pt idx="54">
                  <c:v>36966</c:v>
                </c:pt>
                <c:pt idx="55">
                  <c:v>101025</c:v>
                </c:pt>
                <c:pt idx="56">
                  <c:v>35082</c:v>
                </c:pt>
                <c:pt idx="57">
                  <c:v>9873</c:v>
                </c:pt>
                <c:pt idx="58">
                  <c:v>64076</c:v>
                </c:pt>
                <c:pt idx="59">
                  <c:v>57110</c:v>
                </c:pt>
                <c:pt idx="60">
                  <c:v>48362</c:v>
                </c:pt>
                <c:pt idx="61">
                  <c:v>66872</c:v>
                </c:pt>
                <c:pt idx="62">
                  <c:v>38022</c:v>
                </c:pt>
                <c:pt idx="63">
                  <c:v>29984</c:v>
                </c:pt>
                <c:pt idx="64">
                  <c:v>17132</c:v>
                </c:pt>
                <c:pt idx="65">
                  <c:v>43617</c:v>
                </c:pt>
                <c:pt idx="66">
                  <c:v>31869</c:v>
                </c:pt>
                <c:pt idx="67">
                  <c:v>18913</c:v>
                </c:pt>
                <c:pt idx="68">
                  <c:v>21246</c:v>
                </c:pt>
                <c:pt idx="69">
                  <c:v>29439</c:v>
                </c:pt>
                <c:pt idx="70">
                  <c:v>13839</c:v>
                </c:pt>
                <c:pt idx="71">
                  <c:v>20340</c:v>
                </c:pt>
                <c:pt idx="72">
                  <c:v>9558</c:v>
                </c:pt>
                <c:pt idx="73">
                  <c:v>56277</c:v>
                </c:pt>
                <c:pt idx="74">
                  <c:v>78266</c:v>
                </c:pt>
                <c:pt idx="75">
                  <c:v>19678</c:v>
                </c:pt>
                <c:pt idx="76">
                  <c:v>24350</c:v>
                </c:pt>
                <c:pt idx="77">
                  <c:v>17604</c:v>
                </c:pt>
                <c:pt idx="78">
                  <c:v>30023</c:v>
                </c:pt>
                <c:pt idx="79">
                  <c:v>66225</c:v>
                </c:pt>
                <c:pt idx="80">
                  <c:v>44893</c:v>
                </c:pt>
                <c:pt idx="81">
                  <c:v>97344</c:v>
                </c:pt>
                <c:pt idx="82">
                  <c:v>31794</c:v>
                </c:pt>
                <c:pt idx="83">
                  <c:v>61380</c:v>
                </c:pt>
                <c:pt idx="84">
                  <c:v>26668</c:v>
                </c:pt>
                <c:pt idx="85">
                  <c:v>66155</c:v>
                </c:pt>
                <c:pt idx="86">
                  <c:v>62353</c:v>
                </c:pt>
                <c:pt idx="87">
                  <c:v>48677</c:v>
                </c:pt>
                <c:pt idx="88">
                  <c:v>48095</c:v>
                </c:pt>
                <c:pt idx="89">
                  <c:v>31781</c:v>
                </c:pt>
                <c:pt idx="90">
                  <c:v>62401</c:v>
                </c:pt>
                <c:pt idx="91">
                  <c:v>81189</c:v>
                </c:pt>
                <c:pt idx="92">
                  <c:v>62479</c:v>
                </c:pt>
                <c:pt idx="93">
                  <c:v>85278</c:v>
                </c:pt>
                <c:pt idx="94">
                  <c:v>43407</c:v>
                </c:pt>
                <c:pt idx="95">
                  <c:v>85317</c:v>
                </c:pt>
                <c:pt idx="96">
                  <c:v>150949</c:v>
                </c:pt>
                <c:pt idx="97">
                  <c:v>74006</c:v>
                </c:pt>
                <c:pt idx="98">
                  <c:v>105323</c:v>
                </c:pt>
                <c:pt idx="99">
                  <c:v>64366</c:v>
                </c:pt>
                <c:pt idx="100">
                  <c:v>37431</c:v>
                </c:pt>
                <c:pt idx="101">
                  <c:v>101426</c:v>
                </c:pt>
                <c:pt idx="102">
                  <c:v>90321</c:v>
                </c:pt>
                <c:pt idx="103">
                  <c:v>99305</c:v>
                </c:pt>
                <c:pt idx="104">
                  <c:v>136938</c:v>
                </c:pt>
                <c:pt idx="105">
                  <c:v>59800</c:v>
                </c:pt>
                <c:pt idx="106">
                  <c:v>62933</c:v>
                </c:pt>
                <c:pt idx="107">
                  <c:v>97965</c:v>
                </c:pt>
                <c:pt idx="108">
                  <c:v>143479</c:v>
                </c:pt>
                <c:pt idx="109">
                  <c:v>166614</c:v>
                </c:pt>
                <c:pt idx="110">
                  <c:v>116857</c:v>
                </c:pt>
                <c:pt idx="111">
                  <c:v>132524</c:v>
                </c:pt>
                <c:pt idx="112">
                  <c:v>120492</c:v>
                </c:pt>
                <c:pt idx="113">
                  <c:v>135398</c:v>
                </c:pt>
                <c:pt idx="114">
                  <c:v>0</c:v>
                </c:pt>
                <c:pt idx="115">
                  <c:v>360473</c:v>
                </c:pt>
                <c:pt idx="116">
                  <c:v>395445</c:v>
                </c:pt>
                <c:pt idx="117">
                  <c:v>234016</c:v>
                </c:pt>
                <c:pt idx="118">
                  <c:v>337657</c:v>
                </c:pt>
                <c:pt idx="119">
                  <c:v>632860</c:v>
                </c:pt>
                <c:pt idx="120">
                  <c:v>177978</c:v>
                </c:pt>
                <c:pt idx="121">
                  <c:v>1088055</c:v>
                </c:pt>
                <c:pt idx="122">
                  <c:v>177680</c:v>
                </c:pt>
                <c:pt idx="123">
                  <c:v>1159470</c:v>
                </c:pt>
                <c:pt idx="124">
                  <c:v>386220</c:v>
                </c:pt>
                <c:pt idx="125">
                  <c:v>277796</c:v>
                </c:pt>
                <c:pt idx="126">
                  <c:v>195695</c:v>
                </c:pt>
                <c:pt idx="127">
                  <c:v>265623</c:v>
                </c:pt>
                <c:pt idx="128">
                  <c:v>237272</c:v>
                </c:pt>
                <c:pt idx="129">
                  <c:v>610252</c:v>
                </c:pt>
                <c:pt idx="130">
                  <c:v>103003</c:v>
                </c:pt>
                <c:pt idx="131">
                  <c:v>166776</c:v>
                </c:pt>
                <c:pt idx="132">
                  <c:v>71967</c:v>
                </c:pt>
                <c:pt idx="133">
                  <c:v>140184</c:v>
                </c:pt>
                <c:pt idx="134">
                  <c:v>178435</c:v>
                </c:pt>
                <c:pt idx="135">
                  <c:v>194888</c:v>
                </c:pt>
                <c:pt idx="136">
                  <c:v>230823</c:v>
                </c:pt>
                <c:pt idx="137">
                  <c:v>99559</c:v>
                </c:pt>
                <c:pt idx="138">
                  <c:v>76429</c:v>
                </c:pt>
                <c:pt idx="139">
                  <c:v>297985</c:v>
                </c:pt>
                <c:pt idx="140">
                  <c:v>368404</c:v>
                </c:pt>
                <c:pt idx="141">
                  <c:v>123555</c:v>
                </c:pt>
                <c:pt idx="142">
                  <c:v>153133</c:v>
                </c:pt>
                <c:pt idx="143">
                  <c:v>160796</c:v>
                </c:pt>
                <c:pt idx="144">
                  <c:v>109028</c:v>
                </c:pt>
                <c:pt idx="145">
                  <c:v>129240</c:v>
                </c:pt>
                <c:pt idx="146">
                  <c:v>390401</c:v>
                </c:pt>
                <c:pt idx="147">
                  <c:v>325900</c:v>
                </c:pt>
                <c:pt idx="148">
                  <c:v>204085</c:v>
                </c:pt>
                <c:pt idx="149">
                  <c:v>310256</c:v>
                </c:pt>
                <c:pt idx="150">
                  <c:v>181272</c:v>
                </c:pt>
                <c:pt idx="151">
                  <c:v>171401</c:v>
                </c:pt>
                <c:pt idx="152">
                  <c:v>305827</c:v>
                </c:pt>
                <c:pt idx="153">
                  <c:v>145983</c:v>
                </c:pt>
                <c:pt idx="154">
                  <c:v>193359</c:v>
                </c:pt>
                <c:pt idx="155">
                  <c:v>159721</c:v>
                </c:pt>
                <c:pt idx="156">
                  <c:v>1056118</c:v>
                </c:pt>
                <c:pt idx="157">
                  <c:v>243765</c:v>
                </c:pt>
                <c:pt idx="158">
                  <c:v>135187</c:v>
                </c:pt>
                <c:pt idx="159">
                  <c:v>172682</c:v>
                </c:pt>
                <c:pt idx="160">
                  <c:v>412601</c:v>
                </c:pt>
                <c:pt idx="161">
                  <c:v>264291</c:v>
                </c:pt>
                <c:pt idx="162">
                  <c:v>154241</c:v>
                </c:pt>
                <c:pt idx="163">
                  <c:v>108309</c:v>
                </c:pt>
                <c:pt idx="164">
                  <c:v>258178</c:v>
                </c:pt>
                <c:pt idx="165">
                  <c:v>154325</c:v>
                </c:pt>
                <c:pt idx="166">
                  <c:v>307225</c:v>
                </c:pt>
                <c:pt idx="167">
                  <c:v>166830</c:v>
                </c:pt>
                <c:pt idx="168">
                  <c:v>233876</c:v>
                </c:pt>
                <c:pt idx="169">
                  <c:v>258296</c:v>
                </c:pt>
                <c:pt idx="170">
                  <c:v>161045</c:v>
                </c:pt>
                <c:pt idx="171">
                  <c:v>223911</c:v>
                </c:pt>
                <c:pt idx="172">
                  <c:v>275408</c:v>
                </c:pt>
                <c:pt idx="173">
                  <c:v>289556</c:v>
                </c:pt>
                <c:pt idx="174">
                  <c:v>735400</c:v>
                </c:pt>
                <c:pt idx="175">
                  <c:v>480874</c:v>
                </c:pt>
                <c:pt idx="176">
                  <c:v>441325</c:v>
                </c:pt>
                <c:pt idx="177">
                  <c:v>500210</c:v>
                </c:pt>
                <c:pt idx="178">
                  <c:v>329123</c:v>
                </c:pt>
                <c:pt idx="179">
                  <c:v>491700</c:v>
                </c:pt>
                <c:pt idx="180">
                  <c:v>710725</c:v>
                </c:pt>
                <c:pt idx="181">
                  <c:v>347197</c:v>
                </c:pt>
                <c:pt idx="182">
                  <c:v>497334</c:v>
                </c:pt>
                <c:pt idx="183">
                  <c:v>4139537</c:v>
                </c:pt>
                <c:pt idx="184">
                  <c:v>346993</c:v>
                </c:pt>
                <c:pt idx="185">
                  <c:v>245916</c:v>
                </c:pt>
                <c:pt idx="186">
                  <c:v>270959</c:v>
                </c:pt>
                <c:pt idx="187">
                  <c:v>226392</c:v>
                </c:pt>
                <c:pt idx="188">
                  <c:v>344254</c:v>
                </c:pt>
                <c:pt idx="189">
                  <c:v>479634</c:v>
                </c:pt>
                <c:pt idx="190">
                  <c:v>377444</c:v>
                </c:pt>
                <c:pt idx="191">
                  <c:v>219339</c:v>
                </c:pt>
                <c:pt idx="192">
                  <c:v>267411</c:v>
                </c:pt>
                <c:pt idx="193">
                  <c:v>301984</c:v>
                </c:pt>
                <c:pt idx="194">
                  <c:v>159359</c:v>
                </c:pt>
                <c:pt idx="195">
                  <c:v>255818</c:v>
                </c:pt>
                <c:pt idx="196">
                  <c:v>293823</c:v>
                </c:pt>
                <c:pt idx="197">
                  <c:v>383539</c:v>
                </c:pt>
                <c:pt idx="198">
                  <c:v>226820</c:v>
                </c:pt>
                <c:pt idx="199">
                  <c:v>127087</c:v>
                </c:pt>
                <c:pt idx="200">
                  <c:v>375162</c:v>
                </c:pt>
                <c:pt idx="201">
                  <c:v>351476</c:v>
                </c:pt>
                <c:pt idx="202">
                  <c:v>472507</c:v>
                </c:pt>
                <c:pt idx="203">
                  <c:v>965222</c:v>
                </c:pt>
                <c:pt idx="204">
                  <c:v>255165</c:v>
                </c:pt>
                <c:pt idx="205">
                  <c:v>335836</c:v>
                </c:pt>
                <c:pt idx="206">
                  <c:v>434065</c:v>
                </c:pt>
                <c:pt idx="207">
                  <c:v>611325</c:v>
                </c:pt>
                <c:pt idx="208">
                  <c:v>270745</c:v>
                </c:pt>
                <c:pt idx="209">
                  <c:v>519562</c:v>
                </c:pt>
                <c:pt idx="210">
                  <c:v>378633</c:v>
                </c:pt>
                <c:pt idx="211">
                  <c:v>378408</c:v>
                </c:pt>
                <c:pt idx="212">
                  <c:v>331517</c:v>
                </c:pt>
                <c:pt idx="213">
                  <c:v>340282</c:v>
                </c:pt>
                <c:pt idx="214">
                  <c:v>270838</c:v>
                </c:pt>
                <c:pt idx="215">
                  <c:v>202461</c:v>
                </c:pt>
                <c:pt idx="216">
                  <c:v>385737</c:v>
                </c:pt>
                <c:pt idx="217">
                  <c:v>406884</c:v>
                </c:pt>
                <c:pt idx="218">
                  <c:v>412369</c:v>
                </c:pt>
                <c:pt idx="219">
                  <c:v>301377</c:v>
                </c:pt>
                <c:pt idx="220">
                  <c:v>217752</c:v>
                </c:pt>
                <c:pt idx="221">
                  <c:v>547510</c:v>
                </c:pt>
                <c:pt idx="222">
                  <c:v>404223</c:v>
                </c:pt>
                <c:pt idx="223">
                  <c:v>469934</c:v>
                </c:pt>
                <c:pt idx="224">
                  <c:v>269553</c:v>
                </c:pt>
                <c:pt idx="225">
                  <c:v>345945</c:v>
                </c:pt>
                <c:pt idx="226">
                  <c:v>282842</c:v>
                </c:pt>
                <c:pt idx="227">
                  <c:v>135040</c:v>
                </c:pt>
                <c:pt idx="228">
                  <c:v>263261</c:v>
                </c:pt>
                <c:pt idx="229">
                  <c:v>984018</c:v>
                </c:pt>
                <c:pt idx="230">
                  <c:v>319716</c:v>
                </c:pt>
                <c:pt idx="231">
                  <c:v>764174</c:v>
                </c:pt>
                <c:pt idx="232">
                  <c:v>330030</c:v>
                </c:pt>
                <c:pt idx="233">
                  <c:v>1264081</c:v>
                </c:pt>
                <c:pt idx="234">
                  <c:v>225896</c:v>
                </c:pt>
                <c:pt idx="235">
                  <c:v>216873</c:v>
                </c:pt>
                <c:pt idx="236">
                  <c:v>202147</c:v>
                </c:pt>
                <c:pt idx="237">
                  <c:v>323852</c:v>
                </c:pt>
                <c:pt idx="238">
                  <c:v>347718</c:v>
                </c:pt>
                <c:pt idx="239">
                  <c:v>294638</c:v>
                </c:pt>
                <c:pt idx="240">
                  <c:v>475579</c:v>
                </c:pt>
                <c:pt idx="241">
                  <c:v>207232</c:v>
                </c:pt>
                <c:pt idx="242">
                  <c:v>186386</c:v>
                </c:pt>
                <c:pt idx="243">
                  <c:v>202032</c:v>
                </c:pt>
                <c:pt idx="244">
                  <c:v>179425</c:v>
                </c:pt>
                <c:pt idx="245">
                  <c:v>376102</c:v>
                </c:pt>
                <c:pt idx="246">
                  <c:v>168305</c:v>
                </c:pt>
                <c:pt idx="247">
                  <c:v>229964</c:v>
                </c:pt>
                <c:pt idx="248">
                  <c:v>987194</c:v>
                </c:pt>
                <c:pt idx="249">
                  <c:v>269142</c:v>
                </c:pt>
                <c:pt idx="250">
                  <c:v>93282</c:v>
                </c:pt>
                <c:pt idx="251">
                  <c:v>197122</c:v>
                </c:pt>
                <c:pt idx="252">
                  <c:v>253683</c:v>
                </c:pt>
                <c:pt idx="253">
                  <c:v>48376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9-4FCF-B837-63DB523CE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12"/>
        <c:axId val="2047389152"/>
        <c:axId val="2047392992"/>
      </c:barChart>
      <c:lineChart>
        <c:grouping val="standard"/>
        <c:varyColors val="0"/>
        <c:ser>
          <c:idx val="0"/>
          <c:order val="0"/>
          <c:tx>
            <c:strRef>
              <c:f>'Stock vs volumn'!$B$1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 cmpd="dbl">
                <a:solidFill>
                  <a:schemeClr val="accent1"/>
                </a:solidFill>
                <a:prstDash val="lgDash"/>
              </a:ln>
              <a:effectLst/>
            </c:spPr>
            <c:trendlineType val="linear"/>
            <c:dispRSqr val="0"/>
            <c:dispEq val="0"/>
          </c:trendline>
          <c:cat>
            <c:numRef>
              <c:f>'Stock vs volumn'!$A$2:$A$255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'Stock vs volumn'!$B$2:$B$255</c:f>
              <c:numCache>
                <c:formatCode>"$"#,##0.00</c:formatCode>
                <c:ptCount val="254"/>
                <c:pt idx="0">
                  <c:v>9.2799999999999994</c:v>
                </c:pt>
                <c:pt idx="1">
                  <c:v>9.3000000000000007</c:v>
                </c:pt>
                <c:pt idx="2">
                  <c:v>9.69</c:v>
                </c:pt>
                <c:pt idx="3">
                  <c:v>9.34</c:v>
                </c:pt>
                <c:pt idx="4">
                  <c:v>9.5299999999999994</c:v>
                </c:pt>
                <c:pt idx="5">
                  <c:v>9.51</c:v>
                </c:pt>
                <c:pt idx="6">
                  <c:v>9.4700000000000006</c:v>
                </c:pt>
                <c:pt idx="7">
                  <c:v>9.52</c:v>
                </c:pt>
                <c:pt idx="8">
                  <c:v>9.5500000000000007</c:v>
                </c:pt>
                <c:pt idx="9">
                  <c:v>9.4499999999999993</c:v>
                </c:pt>
                <c:pt idx="10">
                  <c:v>9.48</c:v>
                </c:pt>
                <c:pt idx="11">
                  <c:v>9.36</c:v>
                </c:pt>
                <c:pt idx="12">
                  <c:v>9.56</c:v>
                </c:pt>
                <c:pt idx="13">
                  <c:v>9.4</c:v>
                </c:pt>
                <c:pt idx="14">
                  <c:v>9.5299999999999994</c:v>
                </c:pt>
                <c:pt idx="15">
                  <c:v>9.65</c:v>
                </c:pt>
                <c:pt idx="16">
                  <c:v>9.6</c:v>
                </c:pt>
                <c:pt idx="17">
                  <c:v>9.64</c:v>
                </c:pt>
                <c:pt idx="18">
                  <c:v>10.09</c:v>
                </c:pt>
                <c:pt idx="19">
                  <c:v>9.9700000000000006</c:v>
                </c:pt>
                <c:pt idx="20">
                  <c:v>9.8800000000000008</c:v>
                </c:pt>
                <c:pt idx="21">
                  <c:v>9.9499999999999993</c:v>
                </c:pt>
                <c:pt idx="22">
                  <c:v>9.8699999999999992</c:v>
                </c:pt>
                <c:pt idx="23">
                  <c:v>9.92</c:v>
                </c:pt>
                <c:pt idx="24">
                  <c:v>9.92</c:v>
                </c:pt>
                <c:pt idx="25">
                  <c:v>9.93</c:v>
                </c:pt>
                <c:pt idx="26">
                  <c:v>9.81</c:v>
                </c:pt>
                <c:pt idx="27">
                  <c:v>10.11</c:v>
                </c:pt>
                <c:pt idx="28">
                  <c:v>9.8699999999999992</c:v>
                </c:pt>
                <c:pt idx="29">
                  <c:v>9.7799999999999994</c:v>
                </c:pt>
                <c:pt idx="30">
                  <c:v>9.6300000000000008</c:v>
                </c:pt>
                <c:pt idx="31">
                  <c:v>9.6300000000000008</c:v>
                </c:pt>
                <c:pt idx="32">
                  <c:v>9.8000000000000007</c:v>
                </c:pt>
                <c:pt idx="33">
                  <c:v>9.5500000000000007</c:v>
                </c:pt>
                <c:pt idx="34">
                  <c:v>9.7200000000000006</c:v>
                </c:pt>
                <c:pt idx="35">
                  <c:v>9.5</c:v>
                </c:pt>
                <c:pt idx="36">
                  <c:v>9.86</c:v>
                </c:pt>
                <c:pt idx="37">
                  <c:v>9.67</c:v>
                </c:pt>
                <c:pt idx="38">
                  <c:v>9.6300000000000008</c:v>
                </c:pt>
                <c:pt idx="39">
                  <c:v>9.52</c:v>
                </c:pt>
                <c:pt idx="40">
                  <c:v>9.66</c:v>
                </c:pt>
                <c:pt idx="41">
                  <c:v>9.7200000000000006</c:v>
                </c:pt>
                <c:pt idx="42">
                  <c:v>9.6199999999999992</c:v>
                </c:pt>
                <c:pt idx="43">
                  <c:v>9.7100000000000009</c:v>
                </c:pt>
                <c:pt idx="44">
                  <c:v>9.58</c:v>
                </c:pt>
                <c:pt idx="45">
                  <c:v>9.9</c:v>
                </c:pt>
                <c:pt idx="46">
                  <c:v>9.81</c:v>
                </c:pt>
                <c:pt idx="47">
                  <c:v>9.92</c:v>
                </c:pt>
                <c:pt idx="48">
                  <c:v>9.9600000000000009</c:v>
                </c:pt>
                <c:pt idx="49">
                  <c:v>9.75</c:v>
                </c:pt>
                <c:pt idx="50">
                  <c:v>9.9700000000000006</c:v>
                </c:pt>
                <c:pt idx="51">
                  <c:v>9.9600000000000009</c:v>
                </c:pt>
                <c:pt idx="52">
                  <c:v>9.7100000000000009</c:v>
                </c:pt>
                <c:pt idx="53">
                  <c:v>9.81</c:v>
                </c:pt>
                <c:pt idx="54">
                  <c:v>9.75</c:v>
                </c:pt>
                <c:pt idx="55">
                  <c:v>9.8800000000000008</c:v>
                </c:pt>
                <c:pt idx="56">
                  <c:v>9.77</c:v>
                </c:pt>
                <c:pt idx="57">
                  <c:v>9.84</c:v>
                </c:pt>
                <c:pt idx="58">
                  <c:v>9.85</c:v>
                </c:pt>
                <c:pt idx="59">
                  <c:v>10.01</c:v>
                </c:pt>
                <c:pt idx="60">
                  <c:v>9.8699999999999992</c:v>
                </c:pt>
                <c:pt idx="61">
                  <c:v>9.92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10.039999999999999</c:v>
                </c:pt>
                <c:pt idx="65">
                  <c:v>9.98</c:v>
                </c:pt>
                <c:pt idx="66">
                  <c:v>10.050000000000001</c:v>
                </c:pt>
                <c:pt idx="67">
                  <c:v>9.9700000000000006</c:v>
                </c:pt>
                <c:pt idx="68">
                  <c:v>10.050000000000001</c:v>
                </c:pt>
                <c:pt idx="69">
                  <c:v>10.199999999999999</c:v>
                </c:pt>
                <c:pt idx="70">
                  <c:v>10.130000000000001</c:v>
                </c:pt>
                <c:pt idx="71">
                  <c:v>9.98</c:v>
                </c:pt>
                <c:pt idx="72">
                  <c:v>10</c:v>
                </c:pt>
                <c:pt idx="73">
                  <c:v>10.16</c:v>
                </c:pt>
                <c:pt idx="74">
                  <c:v>9.92</c:v>
                </c:pt>
                <c:pt idx="75">
                  <c:v>9.99</c:v>
                </c:pt>
                <c:pt idx="76">
                  <c:v>9.9499999999999993</c:v>
                </c:pt>
                <c:pt idx="77">
                  <c:v>9.93</c:v>
                </c:pt>
                <c:pt idx="78">
                  <c:v>10.029999999999999</c:v>
                </c:pt>
                <c:pt idx="79">
                  <c:v>9.92</c:v>
                </c:pt>
                <c:pt idx="80">
                  <c:v>9.9499999999999993</c:v>
                </c:pt>
                <c:pt idx="81">
                  <c:v>10</c:v>
                </c:pt>
                <c:pt idx="82">
                  <c:v>9.9700000000000006</c:v>
                </c:pt>
                <c:pt idx="83">
                  <c:v>10.02</c:v>
                </c:pt>
                <c:pt idx="84">
                  <c:v>9.9499999999999993</c:v>
                </c:pt>
                <c:pt idx="85">
                  <c:v>9.68</c:v>
                </c:pt>
                <c:pt idx="86">
                  <c:v>9.73</c:v>
                </c:pt>
                <c:pt idx="87">
                  <c:v>9.89</c:v>
                </c:pt>
                <c:pt idx="88">
                  <c:v>9.7799999999999994</c:v>
                </c:pt>
                <c:pt idx="89">
                  <c:v>9.7100000000000009</c:v>
                </c:pt>
                <c:pt idx="90">
                  <c:v>9.6300000000000008</c:v>
                </c:pt>
                <c:pt idx="91">
                  <c:v>9.48</c:v>
                </c:pt>
                <c:pt idx="92">
                  <c:v>9.5500000000000007</c:v>
                </c:pt>
                <c:pt idx="93">
                  <c:v>9.84</c:v>
                </c:pt>
                <c:pt idx="94">
                  <c:v>9.94</c:v>
                </c:pt>
                <c:pt idx="95">
                  <c:v>10.35</c:v>
                </c:pt>
                <c:pt idx="96">
                  <c:v>9.75</c:v>
                </c:pt>
                <c:pt idx="97">
                  <c:v>9.8800000000000008</c:v>
                </c:pt>
                <c:pt idx="98">
                  <c:v>10.1</c:v>
                </c:pt>
                <c:pt idx="99">
                  <c:v>10.050000000000001</c:v>
                </c:pt>
                <c:pt idx="100">
                  <c:v>10.06</c:v>
                </c:pt>
                <c:pt idx="101">
                  <c:v>10.08</c:v>
                </c:pt>
                <c:pt idx="102">
                  <c:v>9.9499999999999993</c:v>
                </c:pt>
                <c:pt idx="103">
                  <c:v>9.7799999999999994</c:v>
                </c:pt>
                <c:pt idx="104">
                  <c:v>9.85</c:v>
                </c:pt>
                <c:pt idx="105">
                  <c:v>9.9600000000000009</c:v>
                </c:pt>
                <c:pt idx="106">
                  <c:v>10.1</c:v>
                </c:pt>
                <c:pt idx="107">
                  <c:v>10.31</c:v>
                </c:pt>
                <c:pt idx="108">
                  <c:v>10.61</c:v>
                </c:pt>
                <c:pt idx="109">
                  <c:v>10.35</c:v>
                </c:pt>
                <c:pt idx="110">
                  <c:v>10</c:v>
                </c:pt>
                <c:pt idx="111">
                  <c:v>9.92</c:v>
                </c:pt>
                <c:pt idx="112">
                  <c:v>9.8800000000000008</c:v>
                </c:pt>
                <c:pt idx="113">
                  <c:v>10.06</c:v>
                </c:pt>
                <c:pt idx="114">
                  <c:v>10.06</c:v>
                </c:pt>
                <c:pt idx="115">
                  <c:v>10.55</c:v>
                </c:pt>
                <c:pt idx="116">
                  <c:v>10.25</c:v>
                </c:pt>
                <c:pt idx="117">
                  <c:v>10.26</c:v>
                </c:pt>
                <c:pt idx="118">
                  <c:v>10.029999999999999</c:v>
                </c:pt>
                <c:pt idx="119">
                  <c:v>10.07</c:v>
                </c:pt>
                <c:pt idx="120">
                  <c:v>10.11</c:v>
                </c:pt>
                <c:pt idx="121">
                  <c:v>10.220000000000001</c:v>
                </c:pt>
                <c:pt idx="122">
                  <c:v>10.18</c:v>
                </c:pt>
                <c:pt idx="123">
                  <c:v>10.34</c:v>
                </c:pt>
                <c:pt idx="124">
                  <c:v>10.18</c:v>
                </c:pt>
                <c:pt idx="125">
                  <c:v>10.19</c:v>
                </c:pt>
                <c:pt idx="126">
                  <c:v>10.210000000000001</c:v>
                </c:pt>
                <c:pt idx="127">
                  <c:v>10.1</c:v>
                </c:pt>
                <c:pt idx="128">
                  <c:v>10.11</c:v>
                </c:pt>
                <c:pt idx="129">
                  <c:v>10.32</c:v>
                </c:pt>
                <c:pt idx="130">
                  <c:v>10.130000000000001</c:v>
                </c:pt>
                <c:pt idx="131">
                  <c:v>10.06</c:v>
                </c:pt>
                <c:pt idx="132">
                  <c:v>10.08</c:v>
                </c:pt>
                <c:pt idx="133">
                  <c:v>9.8800000000000008</c:v>
                </c:pt>
                <c:pt idx="134">
                  <c:v>9.69</c:v>
                </c:pt>
                <c:pt idx="135">
                  <c:v>9.56</c:v>
                </c:pt>
                <c:pt idx="136">
                  <c:v>9.73</c:v>
                </c:pt>
                <c:pt idx="137">
                  <c:v>9.86</c:v>
                </c:pt>
                <c:pt idx="138">
                  <c:v>9.74</c:v>
                </c:pt>
                <c:pt idx="139">
                  <c:v>9.6999999999999993</c:v>
                </c:pt>
                <c:pt idx="140">
                  <c:v>9.81</c:v>
                </c:pt>
                <c:pt idx="141">
                  <c:v>10</c:v>
                </c:pt>
                <c:pt idx="142">
                  <c:v>9.85</c:v>
                </c:pt>
                <c:pt idx="143">
                  <c:v>9.7200000000000006</c:v>
                </c:pt>
                <c:pt idx="144">
                  <c:v>9.76</c:v>
                </c:pt>
                <c:pt idx="145">
                  <c:v>9.76</c:v>
                </c:pt>
                <c:pt idx="146">
                  <c:v>9.82</c:v>
                </c:pt>
                <c:pt idx="147">
                  <c:v>9.85</c:v>
                </c:pt>
                <c:pt idx="148">
                  <c:v>9.9</c:v>
                </c:pt>
                <c:pt idx="149">
                  <c:v>9.5399999999999991</c:v>
                </c:pt>
                <c:pt idx="150">
                  <c:v>9.5500000000000007</c:v>
                </c:pt>
                <c:pt idx="151">
                  <c:v>9.7200000000000006</c:v>
                </c:pt>
                <c:pt idx="152">
                  <c:v>9.7200000000000006</c:v>
                </c:pt>
                <c:pt idx="153">
                  <c:v>9.77</c:v>
                </c:pt>
                <c:pt idx="154">
                  <c:v>9.65</c:v>
                </c:pt>
                <c:pt idx="155">
                  <c:v>9.68</c:v>
                </c:pt>
                <c:pt idx="156">
                  <c:v>9.59</c:v>
                </c:pt>
                <c:pt idx="157">
                  <c:v>9.81</c:v>
                </c:pt>
                <c:pt idx="158">
                  <c:v>9.92</c:v>
                </c:pt>
                <c:pt idx="159">
                  <c:v>10</c:v>
                </c:pt>
                <c:pt idx="160">
                  <c:v>10.02</c:v>
                </c:pt>
                <c:pt idx="161">
                  <c:v>10.07</c:v>
                </c:pt>
                <c:pt idx="162">
                  <c:v>9.9600000000000009</c:v>
                </c:pt>
                <c:pt idx="163">
                  <c:v>10.14</c:v>
                </c:pt>
                <c:pt idx="164">
                  <c:v>10.029999999999999</c:v>
                </c:pt>
                <c:pt idx="165">
                  <c:v>10.02</c:v>
                </c:pt>
                <c:pt idx="166">
                  <c:v>10.07</c:v>
                </c:pt>
                <c:pt idx="167">
                  <c:v>10.01</c:v>
                </c:pt>
                <c:pt idx="168">
                  <c:v>10.14</c:v>
                </c:pt>
                <c:pt idx="169">
                  <c:v>10.28</c:v>
                </c:pt>
                <c:pt idx="170">
                  <c:v>10.27</c:v>
                </c:pt>
                <c:pt idx="171">
                  <c:v>10.5</c:v>
                </c:pt>
                <c:pt idx="172">
                  <c:v>10.9</c:v>
                </c:pt>
                <c:pt idx="173">
                  <c:v>11.08</c:v>
                </c:pt>
                <c:pt idx="174">
                  <c:v>11.1</c:v>
                </c:pt>
                <c:pt idx="175">
                  <c:v>11.08</c:v>
                </c:pt>
                <c:pt idx="176">
                  <c:v>11.26</c:v>
                </c:pt>
                <c:pt idx="177">
                  <c:v>11.4</c:v>
                </c:pt>
                <c:pt idx="178">
                  <c:v>11.26</c:v>
                </c:pt>
                <c:pt idx="179">
                  <c:v>11.11</c:v>
                </c:pt>
                <c:pt idx="180">
                  <c:v>11.24</c:v>
                </c:pt>
                <c:pt idx="181">
                  <c:v>11.15</c:v>
                </c:pt>
                <c:pt idx="182">
                  <c:v>11.39</c:v>
                </c:pt>
                <c:pt idx="183">
                  <c:v>11.27</c:v>
                </c:pt>
                <c:pt idx="184">
                  <c:v>11.33</c:v>
                </c:pt>
                <c:pt idx="185">
                  <c:v>11.17</c:v>
                </c:pt>
                <c:pt idx="186">
                  <c:v>11.14</c:v>
                </c:pt>
                <c:pt idx="187">
                  <c:v>11.31</c:v>
                </c:pt>
                <c:pt idx="188">
                  <c:v>11.42</c:v>
                </c:pt>
                <c:pt idx="189">
                  <c:v>11.41</c:v>
                </c:pt>
                <c:pt idx="190">
                  <c:v>11.17</c:v>
                </c:pt>
                <c:pt idx="191">
                  <c:v>11.18</c:v>
                </c:pt>
                <c:pt idx="192">
                  <c:v>11.08</c:v>
                </c:pt>
                <c:pt idx="193">
                  <c:v>11.08</c:v>
                </c:pt>
                <c:pt idx="194">
                  <c:v>11.16</c:v>
                </c:pt>
                <c:pt idx="195">
                  <c:v>11.04</c:v>
                </c:pt>
                <c:pt idx="196">
                  <c:v>11.17</c:v>
                </c:pt>
                <c:pt idx="197">
                  <c:v>10.9</c:v>
                </c:pt>
                <c:pt idx="198">
                  <c:v>11.16</c:v>
                </c:pt>
                <c:pt idx="199">
                  <c:v>11.06</c:v>
                </c:pt>
                <c:pt idx="200">
                  <c:v>11.12</c:v>
                </c:pt>
                <c:pt idx="201">
                  <c:v>10.89</c:v>
                </c:pt>
                <c:pt idx="202">
                  <c:v>11.07</c:v>
                </c:pt>
                <c:pt idx="203">
                  <c:v>11.12</c:v>
                </c:pt>
                <c:pt idx="204">
                  <c:v>11.27</c:v>
                </c:pt>
                <c:pt idx="205">
                  <c:v>11.46</c:v>
                </c:pt>
                <c:pt idx="206">
                  <c:v>11.62</c:v>
                </c:pt>
                <c:pt idx="207">
                  <c:v>11.78</c:v>
                </c:pt>
                <c:pt idx="208">
                  <c:v>11.66</c:v>
                </c:pt>
                <c:pt idx="209">
                  <c:v>11.95</c:v>
                </c:pt>
                <c:pt idx="210">
                  <c:v>11.97</c:v>
                </c:pt>
                <c:pt idx="211">
                  <c:v>11.67</c:v>
                </c:pt>
                <c:pt idx="212">
                  <c:v>11.5</c:v>
                </c:pt>
                <c:pt idx="213">
                  <c:v>11.61</c:v>
                </c:pt>
                <c:pt idx="214">
                  <c:v>11.58</c:v>
                </c:pt>
                <c:pt idx="215">
                  <c:v>11.46</c:v>
                </c:pt>
                <c:pt idx="216">
                  <c:v>11.66</c:v>
                </c:pt>
                <c:pt idx="217">
                  <c:v>11.4</c:v>
                </c:pt>
                <c:pt idx="218">
                  <c:v>11.3</c:v>
                </c:pt>
                <c:pt idx="219">
                  <c:v>11.04</c:v>
                </c:pt>
                <c:pt idx="220">
                  <c:v>11.13</c:v>
                </c:pt>
                <c:pt idx="221">
                  <c:v>11.27</c:v>
                </c:pt>
                <c:pt idx="222">
                  <c:v>11.29</c:v>
                </c:pt>
                <c:pt idx="223">
                  <c:v>11.41</c:v>
                </c:pt>
                <c:pt idx="224">
                  <c:v>11.25</c:v>
                </c:pt>
                <c:pt idx="225">
                  <c:v>11.01</c:v>
                </c:pt>
                <c:pt idx="226">
                  <c:v>11.08</c:v>
                </c:pt>
                <c:pt idx="227">
                  <c:v>11.19</c:v>
                </c:pt>
                <c:pt idx="228">
                  <c:v>11.2</c:v>
                </c:pt>
                <c:pt idx="229">
                  <c:v>11.42</c:v>
                </c:pt>
                <c:pt idx="230">
                  <c:v>11.4</c:v>
                </c:pt>
                <c:pt idx="231">
                  <c:v>11.6</c:v>
                </c:pt>
                <c:pt idx="232">
                  <c:v>11.57</c:v>
                </c:pt>
                <c:pt idx="233">
                  <c:v>11.63</c:v>
                </c:pt>
                <c:pt idx="234">
                  <c:v>11.61</c:v>
                </c:pt>
                <c:pt idx="235">
                  <c:v>11.34</c:v>
                </c:pt>
                <c:pt idx="236">
                  <c:v>11.36</c:v>
                </c:pt>
                <c:pt idx="237">
                  <c:v>11.58</c:v>
                </c:pt>
                <c:pt idx="238">
                  <c:v>11.36</c:v>
                </c:pt>
                <c:pt idx="239">
                  <c:v>11.44</c:v>
                </c:pt>
                <c:pt idx="240">
                  <c:v>11.09</c:v>
                </c:pt>
                <c:pt idx="241">
                  <c:v>10.93</c:v>
                </c:pt>
                <c:pt idx="242">
                  <c:v>10.87</c:v>
                </c:pt>
                <c:pt idx="243">
                  <c:v>10.97</c:v>
                </c:pt>
                <c:pt idx="244">
                  <c:v>10.98</c:v>
                </c:pt>
                <c:pt idx="245">
                  <c:v>11.3</c:v>
                </c:pt>
                <c:pt idx="246">
                  <c:v>11.26</c:v>
                </c:pt>
                <c:pt idx="247">
                  <c:v>10.96</c:v>
                </c:pt>
                <c:pt idx="248">
                  <c:v>11.35</c:v>
                </c:pt>
                <c:pt idx="249">
                  <c:v>11.39</c:v>
                </c:pt>
                <c:pt idx="250">
                  <c:v>11.56</c:v>
                </c:pt>
                <c:pt idx="251">
                  <c:v>11.55</c:v>
                </c:pt>
                <c:pt idx="252">
                  <c:v>11.57</c:v>
                </c:pt>
                <c:pt idx="25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9-4FCF-B837-63DB523CE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397312"/>
        <c:axId val="2047396832"/>
      </c:lineChart>
      <c:dateAx>
        <c:axId val="2047397312"/>
        <c:scaling>
          <c:orientation val="minMax"/>
        </c:scaling>
        <c:delete val="0"/>
        <c:axPos val="b"/>
        <c:numFmt formatCode="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396832"/>
        <c:crosses val="autoZero"/>
        <c:auto val="1"/>
        <c:lblOffset val="100"/>
        <c:baseTimeUnit val="days"/>
      </c:dateAx>
      <c:valAx>
        <c:axId val="204739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397312"/>
        <c:crosses val="autoZero"/>
        <c:crossBetween val="between"/>
      </c:valAx>
      <c:valAx>
        <c:axId val="2047392992"/>
        <c:scaling>
          <c:orientation val="minMax"/>
        </c:scaling>
        <c:delete val="0"/>
        <c:axPos val="r"/>
        <c:numFmt formatCode="#,##0.00##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389152"/>
        <c:crosses val="max"/>
        <c:crossBetween val="between"/>
      </c:valAx>
      <c:dateAx>
        <c:axId val="2047389152"/>
        <c:scaling>
          <c:orientation val="minMax"/>
        </c:scaling>
        <c:delete val="1"/>
        <c:axPos val="b"/>
        <c:numFmt formatCode="d/mm/yyyy;@" sourceLinked="1"/>
        <c:majorTickMark val="out"/>
        <c:minorTickMark val="none"/>
        <c:tickLblPos val="nextTo"/>
        <c:crossAx val="2047392992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stockchart!$B$1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stockchart!$A$2:$A$255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stockchart!$B$2:$B$255</c:f>
              <c:numCache>
                <c:formatCode>#,##0.00##</c:formatCode>
                <c:ptCount val="254"/>
                <c:pt idx="0">
                  <c:v>9.34</c:v>
                </c:pt>
                <c:pt idx="1">
                  <c:v>9.31</c:v>
                </c:pt>
                <c:pt idx="2">
                  <c:v>9.3000000000000007</c:v>
                </c:pt>
                <c:pt idx="3">
                  <c:v>9.69</c:v>
                </c:pt>
                <c:pt idx="4">
                  <c:v>9.48</c:v>
                </c:pt>
                <c:pt idx="5">
                  <c:v>9.57</c:v>
                </c:pt>
                <c:pt idx="6">
                  <c:v>9.4499999999999993</c:v>
                </c:pt>
                <c:pt idx="7">
                  <c:v>9.49</c:v>
                </c:pt>
                <c:pt idx="8">
                  <c:v>9.6</c:v>
                </c:pt>
                <c:pt idx="9">
                  <c:v>9.6</c:v>
                </c:pt>
                <c:pt idx="10">
                  <c:v>9.4600000000000009</c:v>
                </c:pt>
                <c:pt idx="11">
                  <c:v>9.4600000000000009</c:v>
                </c:pt>
                <c:pt idx="12">
                  <c:v>9.5</c:v>
                </c:pt>
                <c:pt idx="13">
                  <c:v>9.5500000000000007</c:v>
                </c:pt>
                <c:pt idx="14">
                  <c:v>9.5</c:v>
                </c:pt>
                <c:pt idx="15">
                  <c:v>9.5299999999999994</c:v>
                </c:pt>
                <c:pt idx="16">
                  <c:v>9.65</c:v>
                </c:pt>
                <c:pt idx="17">
                  <c:v>9.6300000000000008</c:v>
                </c:pt>
                <c:pt idx="18">
                  <c:v>9.7200000000000006</c:v>
                </c:pt>
                <c:pt idx="19">
                  <c:v>10.16</c:v>
                </c:pt>
                <c:pt idx="20">
                  <c:v>9.98</c:v>
                </c:pt>
                <c:pt idx="21">
                  <c:v>9.92</c:v>
                </c:pt>
                <c:pt idx="22">
                  <c:v>10.15</c:v>
                </c:pt>
                <c:pt idx="23">
                  <c:v>9.93</c:v>
                </c:pt>
                <c:pt idx="24">
                  <c:v>9.93</c:v>
                </c:pt>
                <c:pt idx="25">
                  <c:v>9.89</c:v>
                </c:pt>
                <c:pt idx="26">
                  <c:v>10.029999999999999</c:v>
                </c:pt>
                <c:pt idx="27">
                  <c:v>9.83</c:v>
                </c:pt>
                <c:pt idx="28">
                  <c:v>10.18</c:v>
                </c:pt>
                <c:pt idx="29">
                  <c:v>9.91</c:v>
                </c:pt>
                <c:pt idx="30">
                  <c:v>9.8000000000000007</c:v>
                </c:pt>
                <c:pt idx="31">
                  <c:v>9.68</c:v>
                </c:pt>
                <c:pt idx="32">
                  <c:v>9.6300000000000008</c:v>
                </c:pt>
                <c:pt idx="33">
                  <c:v>9.7100000000000009</c:v>
                </c:pt>
                <c:pt idx="34">
                  <c:v>9.66</c:v>
                </c:pt>
                <c:pt idx="35">
                  <c:v>9.76</c:v>
                </c:pt>
                <c:pt idx="36">
                  <c:v>9.6</c:v>
                </c:pt>
                <c:pt idx="37">
                  <c:v>9.82</c:v>
                </c:pt>
                <c:pt idx="38">
                  <c:v>9.7799999999999994</c:v>
                </c:pt>
                <c:pt idx="39">
                  <c:v>9.6</c:v>
                </c:pt>
                <c:pt idx="40">
                  <c:v>9.52</c:v>
                </c:pt>
                <c:pt idx="41">
                  <c:v>9.58</c:v>
                </c:pt>
                <c:pt idx="42">
                  <c:v>9.7200000000000006</c:v>
                </c:pt>
                <c:pt idx="43">
                  <c:v>9.7799999999999994</c:v>
                </c:pt>
                <c:pt idx="44">
                  <c:v>9.67</c:v>
                </c:pt>
                <c:pt idx="45">
                  <c:v>9.65</c:v>
                </c:pt>
                <c:pt idx="46">
                  <c:v>9.9499999999999993</c:v>
                </c:pt>
                <c:pt idx="47">
                  <c:v>9.82</c:v>
                </c:pt>
                <c:pt idx="48">
                  <c:v>9.8800000000000008</c:v>
                </c:pt>
                <c:pt idx="49">
                  <c:v>9.9600000000000009</c:v>
                </c:pt>
                <c:pt idx="50">
                  <c:v>9.77</c:v>
                </c:pt>
                <c:pt idx="51">
                  <c:v>9.98</c:v>
                </c:pt>
                <c:pt idx="52">
                  <c:v>9.9600000000000009</c:v>
                </c:pt>
                <c:pt idx="53">
                  <c:v>9.76</c:v>
                </c:pt>
                <c:pt idx="54">
                  <c:v>9.83</c:v>
                </c:pt>
                <c:pt idx="55">
                  <c:v>9.8000000000000007</c:v>
                </c:pt>
                <c:pt idx="56">
                  <c:v>9.8000000000000007</c:v>
                </c:pt>
                <c:pt idx="57">
                  <c:v>9.77</c:v>
                </c:pt>
                <c:pt idx="58">
                  <c:v>9.8800000000000008</c:v>
                </c:pt>
                <c:pt idx="59">
                  <c:v>9.8699999999999992</c:v>
                </c:pt>
                <c:pt idx="60">
                  <c:v>9.9600000000000009</c:v>
                </c:pt>
                <c:pt idx="61">
                  <c:v>9.91</c:v>
                </c:pt>
                <c:pt idx="62">
                  <c:v>9.9499999999999993</c:v>
                </c:pt>
                <c:pt idx="63">
                  <c:v>9.9700000000000006</c:v>
                </c:pt>
                <c:pt idx="64">
                  <c:v>10.039999999999999</c:v>
                </c:pt>
                <c:pt idx="65">
                  <c:v>10</c:v>
                </c:pt>
                <c:pt idx="66">
                  <c:v>10.08</c:v>
                </c:pt>
                <c:pt idx="67">
                  <c:v>10.039999999999999</c:v>
                </c:pt>
                <c:pt idx="68">
                  <c:v>9.9700000000000006</c:v>
                </c:pt>
                <c:pt idx="69">
                  <c:v>10.01</c:v>
                </c:pt>
                <c:pt idx="70">
                  <c:v>10.17</c:v>
                </c:pt>
                <c:pt idx="71">
                  <c:v>10.01</c:v>
                </c:pt>
                <c:pt idx="72">
                  <c:v>10</c:v>
                </c:pt>
                <c:pt idx="73">
                  <c:v>10</c:v>
                </c:pt>
                <c:pt idx="74">
                  <c:v>10.16</c:v>
                </c:pt>
                <c:pt idx="75">
                  <c:v>9.9499999999999993</c:v>
                </c:pt>
                <c:pt idx="76">
                  <c:v>10.09</c:v>
                </c:pt>
                <c:pt idx="77">
                  <c:v>10.01</c:v>
                </c:pt>
                <c:pt idx="78">
                  <c:v>10.050000000000001</c:v>
                </c:pt>
                <c:pt idx="79">
                  <c:v>10.050000000000001</c:v>
                </c:pt>
                <c:pt idx="80">
                  <c:v>10.039999999999999</c:v>
                </c:pt>
                <c:pt idx="81">
                  <c:v>10.02</c:v>
                </c:pt>
                <c:pt idx="82">
                  <c:v>10</c:v>
                </c:pt>
                <c:pt idx="83">
                  <c:v>10</c:v>
                </c:pt>
                <c:pt idx="84">
                  <c:v>10.02</c:v>
                </c:pt>
                <c:pt idx="85">
                  <c:v>9.9600000000000009</c:v>
                </c:pt>
                <c:pt idx="86">
                  <c:v>9.7200000000000006</c:v>
                </c:pt>
                <c:pt idx="87">
                  <c:v>9.75</c:v>
                </c:pt>
                <c:pt idx="88">
                  <c:v>9.89</c:v>
                </c:pt>
                <c:pt idx="89">
                  <c:v>9.8800000000000008</c:v>
                </c:pt>
                <c:pt idx="90">
                  <c:v>9.75</c:v>
                </c:pt>
                <c:pt idx="91">
                  <c:v>9.6</c:v>
                </c:pt>
                <c:pt idx="92">
                  <c:v>9.4499999999999993</c:v>
                </c:pt>
                <c:pt idx="93">
                  <c:v>9.65</c:v>
                </c:pt>
                <c:pt idx="94">
                  <c:v>9.86</c:v>
                </c:pt>
                <c:pt idx="95">
                  <c:v>9.9499999999999993</c:v>
                </c:pt>
                <c:pt idx="96">
                  <c:v>9.9</c:v>
                </c:pt>
                <c:pt idx="97">
                  <c:v>9.8800000000000008</c:v>
                </c:pt>
                <c:pt idx="98">
                  <c:v>10.02</c:v>
                </c:pt>
                <c:pt idx="99">
                  <c:v>10.06</c:v>
                </c:pt>
                <c:pt idx="100">
                  <c:v>10.119999999999999</c:v>
                </c:pt>
                <c:pt idx="101">
                  <c:v>10.050000000000001</c:v>
                </c:pt>
                <c:pt idx="102">
                  <c:v>10.1</c:v>
                </c:pt>
                <c:pt idx="103">
                  <c:v>10</c:v>
                </c:pt>
                <c:pt idx="104">
                  <c:v>9.8800000000000008</c:v>
                </c:pt>
                <c:pt idx="105">
                  <c:v>9.93</c:v>
                </c:pt>
                <c:pt idx="106">
                  <c:v>10.039999999999999</c:v>
                </c:pt>
                <c:pt idx="107">
                  <c:v>10.08</c:v>
                </c:pt>
                <c:pt idx="108">
                  <c:v>10.3</c:v>
                </c:pt>
                <c:pt idx="109">
                  <c:v>10.72</c:v>
                </c:pt>
                <c:pt idx="110">
                  <c:v>10.199999999999999</c:v>
                </c:pt>
                <c:pt idx="111">
                  <c:v>10.01</c:v>
                </c:pt>
                <c:pt idx="112">
                  <c:v>9.93</c:v>
                </c:pt>
                <c:pt idx="113">
                  <c:v>9.92</c:v>
                </c:pt>
                <c:pt idx="114">
                  <c:v>0</c:v>
                </c:pt>
                <c:pt idx="115">
                  <c:v>9.99</c:v>
                </c:pt>
                <c:pt idx="116">
                  <c:v>10.47</c:v>
                </c:pt>
                <c:pt idx="117">
                  <c:v>10.199999999999999</c:v>
                </c:pt>
                <c:pt idx="118">
                  <c:v>10.26</c:v>
                </c:pt>
                <c:pt idx="119">
                  <c:v>10.1</c:v>
                </c:pt>
                <c:pt idx="120">
                  <c:v>10.11</c:v>
                </c:pt>
                <c:pt idx="121">
                  <c:v>10.130000000000001</c:v>
                </c:pt>
                <c:pt idx="122">
                  <c:v>10.17</c:v>
                </c:pt>
                <c:pt idx="123">
                  <c:v>10.199999999999999</c:v>
                </c:pt>
                <c:pt idx="124">
                  <c:v>10.5</c:v>
                </c:pt>
                <c:pt idx="125">
                  <c:v>10.18</c:v>
                </c:pt>
                <c:pt idx="126">
                  <c:v>10.25</c:v>
                </c:pt>
                <c:pt idx="127">
                  <c:v>10.3</c:v>
                </c:pt>
                <c:pt idx="128">
                  <c:v>10.220000000000001</c:v>
                </c:pt>
                <c:pt idx="129">
                  <c:v>10.15</c:v>
                </c:pt>
                <c:pt idx="130">
                  <c:v>10.27</c:v>
                </c:pt>
                <c:pt idx="131">
                  <c:v>10.18</c:v>
                </c:pt>
                <c:pt idx="132">
                  <c:v>10.130000000000001</c:v>
                </c:pt>
                <c:pt idx="133">
                  <c:v>10.08</c:v>
                </c:pt>
                <c:pt idx="134">
                  <c:v>9.8800000000000008</c:v>
                </c:pt>
                <c:pt idx="135">
                  <c:v>9.6999999999999993</c:v>
                </c:pt>
                <c:pt idx="136">
                  <c:v>9.69</c:v>
                </c:pt>
                <c:pt idx="137">
                  <c:v>9.83</c:v>
                </c:pt>
                <c:pt idx="138">
                  <c:v>9.8699999999999992</c:v>
                </c:pt>
                <c:pt idx="139">
                  <c:v>9.7200000000000006</c:v>
                </c:pt>
                <c:pt idx="140">
                  <c:v>9.73</c:v>
                </c:pt>
                <c:pt idx="141">
                  <c:v>9.8000000000000007</c:v>
                </c:pt>
                <c:pt idx="142">
                  <c:v>9.91</c:v>
                </c:pt>
                <c:pt idx="143">
                  <c:v>9.9</c:v>
                </c:pt>
                <c:pt idx="144">
                  <c:v>9.7799999999999994</c:v>
                </c:pt>
                <c:pt idx="145">
                  <c:v>9.92</c:v>
                </c:pt>
                <c:pt idx="146">
                  <c:v>9.8699999999999992</c:v>
                </c:pt>
                <c:pt idx="147">
                  <c:v>9.89</c:v>
                </c:pt>
                <c:pt idx="148">
                  <c:v>9.85</c:v>
                </c:pt>
                <c:pt idx="149">
                  <c:v>9.83</c:v>
                </c:pt>
                <c:pt idx="150">
                  <c:v>9.5399999999999991</c:v>
                </c:pt>
                <c:pt idx="151">
                  <c:v>9.65</c:v>
                </c:pt>
                <c:pt idx="152">
                  <c:v>9.66</c:v>
                </c:pt>
                <c:pt idx="153">
                  <c:v>9.76</c:v>
                </c:pt>
                <c:pt idx="154">
                  <c:v>9.7899999999999991</c:v>
                </c:pt>
                <c:pt idx="155">
                  <c:v>9.7100000000000009</c:v>
                </c:pt>
                <c:pt idx="156">
                  <c:v>9.6999999999999993</c:v>
                </c:pt>
                <c:pt idx="157">
                  <c:v>9.6</c:v>
                </c:pt>
                <c:pt idx="158">
                  <c:v>9.75</c:v>
                </c:pt>
                <c:pt idx="159">
                  <c:v>9.86</c:v>
                </c:pt>
                <c:pt idx="160">
                  <c:v>10.050000000000001</c:v>
                </c:pt>
                <c:pt idx="161">
                  <c:v>9.94</c:v>
                </c:pt>
                <c:pt idx="162">
                  <c:v>10.02</c:v>
                </c:pt>
                <c:pt idx="163">
                  <c:v>9.9499999999999993</c:v>
                </c:pt>
                <c:pt idx="164">
                  <c:v>10.19</c:v>
                </c:pt>
                <c:pt idx="165">
                  <c:v>10.050000000000001</c:v>
                </c:pt>
                <c:pt idx="166">
                  <c:v>10.050000000000001</c:v>
                </c:pt>
                <c:pt idx="167">
                  <c:v>10.01</c:v>
                </c:pt>
                <c:pt idx="168">
                  <c:v>10.1</c:v>
                </c:pt>
                <c:pt idx="169">
                  <c:v>10.17</c:v>
                </c:pt>
                <c:pt idx="170">
                  <c:v>10.050000000000001</c:v>
                </c:pt>
                <c:pt idx="171">
                  <c:v>10.29</c:v>
                </c:pt>
                <c:pt idx="172">
                  <c:v>10.6</c:v>
                </c:pt>
                <c:pt idx="173">
                  <c:v>10.91</c:v>
                </c:pt>
                <c:pt idx="174">
                  <c:v>10.98</c:v>
                </c:pt>
                <c:pt idx="175">
                  <c:v>11.2</c:v>
                </c:pt>
                <c:pt idx="176">
                  <c:v>11.2</c:v>
                </c:pt>
                <c:pt idx="177">
                  <c:v>11.36</c:v>
                </c:pt>
                <c:pt idx="178">
                  <c:v>11.42</c:v>
                </c:pt>
                <c:pt idx="179">
                  <c:v>11.4</c:v>
                </c:pt>
                <c:pt idx="180">
                  <c:v>11.1</c:v>
                </c:pt>
                <c:pt idx="181">
                  <c:v>11.66</c:v>
                </c:pt>
                <c:pt idx="182">
                  <c:v>11.4</c:v>
                </c:pt>
                <c:pt idx="183">
                  <c:v>11.43</c:v>
                </c:pt>
                <c:pt idx="184">
                  <c:v>11.32</c:v>
                </c:pt>
                <c:pt idx="185">
                  <c:v>11.33</c:v>
                </c:pt>
                <c:pt idx="186">
                  <c:v>11.17</c:v>
                </c:pt>
                <c:pt idx="187">
                  <c:v>11.18</c:v>
                </c:pt>
                <c:pt idx="188">
                  <c:v>11.34</c:v>
                </c:pt>
                <c:pt idx="189">
                  <c:v>11.55</c:v>
                </c:pt>
                <c:pt idx="190">
                  <c:v>11.45</c:v>
                </c:pt>
                <c:pt idx="191">
                  <c:v>11.13</c:v>
                </c:pt>
                <c:pt idx="192">
                  <c:v>11.24</c:v>
                </c:pt>
                <c:pt idx="193">
                  <c:v>11.11</c:v>
                </c:pt>
                <c:pt idx="194">
                  <c:v>11.16</c:v>
                </c:pt>
                <c:pt idx="195">
                  <c:v>11.16</c:v>
                </c:pt>
                <c:pt idx="196">
                  <c:v>11.04</c:v>
                </c:pt>
                <c:pt idx="197">
                  <c:v>11.2</c:v>
                </c:pt>
                <c:pt idx="198">
                  <c:v>10.91</c:v>
                </c:pt>
                <c:pt idx="199">
                  <c:v>11.16</c:v>
                </c:pt>
                <c:pt idx="200">
                  <c:v>11.1</c:v>
                </c:pt>
                <c:pt idx="201">
                  <c:v>11.06</c:v>
                </c:pt>
                <c:pt idx="202">
                  <c:v>11.15</c:v>
                </c:pt>
                <c:pt idx="203">
                  <c:v>11.1</c:v>
                </c:pt>
                <c:pt idx="204">
                  <c:v>11.12</c:v>
                </c:pt>
                <c:pt idx="205">
                  <c:v>11.14</c:v>
                </c:pt>
                <c:pt idx="206">
                  <c:v>11.43</c:v>
                </c:pt>
                <c:pt idx="207">
                  <c:v>11.62</c:v>
                </c:pt>
                <c:pt idx="208">
                  <c:v>11.86</c:v>
                </c:pt>
                <c:pt idx="209">
                  <c:v>11.68</c:v>
                </c:pt>
                <c:pt idx="210">
                  <c:v>12.04</c:v>
                </c:pt>
                <c:pt idx="211">
                  <c:v>12</c:v>
                </c:pt>
                <c:pt idx="212">
                  <c:v>11.7</c:v>
                </c:pt>
                <c:pt idx="213">
                  <c:v>11.44</c:v>
                </c:pt>
                <c:pt idx="214">
                  <c:v>11.61</c:v>
                </c:pt>
                <c:pt idx="215">
                  <c:v>11.55</c:v>
                </c:pt>
                <c:pt idx="216">
                  <c:v>11.7</c:v>
                </c:pt>
                <c:pt idx="217">
                  <c:v>11.69</c:v>
                </c:pt>
                <c:pt idx="218">
                  <c:v>11.67</c:v>
                </c:pt>
                <c:pt idx="219">
                  <c:v>11.22</c:v>
                </c:pt>
                <c:pt idx="220">
                  <c:v>11.24</c:v>
                </c:pt>
                <c:pt idx="221">
                  <c:v>11.12</c:v>
                </c:pt>
                <c:pt idx="222">
                  <c:v>11.01</c:v>
                </c:pt>
                <c:pt idx="223">
                  <c:v>11.41</c:v>
                </c:pt>
                <c:pt idx="224">
                  <c:v>11.41</c:v>
                </c:pt>
                <c:pt idx="225">
                  <c:v>11.38</c:v>
                </c:pt>
                <c:pt idx="226">
                  <c:v>11.05</c:v>
                </c:pt>
                <c:pt idx="227">
                  <c:v>11.2</c:v>
                </c:pt>
                <c:pt idx="228">
                  <c:v>11.42</c:v>
                </c:pt>
                <c:pt idx="229">
                  <c:v>11.23</c:v>
                </c:pt>
                <c:pt idx="230">
                  <c:v>11.4</c:v>
                </c:pt>
                <c:pt idx="231">
                  <c:v>11.67</c:v>
                </c:pt>
                <c:pt idx="232">
                  <c:v>11.57</c:v>
                </c:pt>
                <c:pt idx="233">
                  <c:v>11.57</c:v>
                </c:pt>
                <c:pt idx="234">
                  <c:v>11.75</c:v>
                </c:pt>
                <c:pt idx="235">
                  <c:v>11.62</c:v>
                </c:pt>
                <c:pt idx="236">
                  <c:v>11.35</c:v>
                </c:pt>
                <c:pt idx="237">
                  <c:v>11.44</c:v>
                </c:pt>
                <c:pt idx="238">
                  <c:v>11.58</c:v>
                </c:pt>
                <c:pt idx="239">
                  <c:v>11.38</c:v>
                </c:pt>
                <c:pt idx="240">
                  <c:v>11.44</c:v>
                </c:pt>
                <c:pt idx="241">
                  <c:v>11.32</c:v>
                </c:pt>
                <c:pt idx="242">
                  <c:v>11.17</c:v>
                </c:pt>
                <c:pt idx="243">
                  <c:v>11.2</c:v>
                </c:pt>
                <c:pt idx="244">
                  <c:v>11.09</c:v>
                </c:pt>
                <c:pt idx="245">
                  <c:v>11.21</c:v>
                </c:pt>
                <c:pt idx="246">
                  <c:v>11.27</c:v>
                </c:pt>
                <c:pt idx="247">
                  <c:v>11.25</c:v>
                </c:pt>
                <c:pt idx="248">
                  <c:v>11.04</c:v>
                </c:pt>
                <c:pt idx="249">
                  <c:v>11.44</c:v>
                </c:pt>
                <c:pt idx="250">
                  <c:v>11.45</c:v>
                </c:pt>
                <c:pt idx="251">
                  <c:v>11.5</c:v>
                </c:pt>
                <c:pt idx="252">
                  <c:v>11.5</c:v>
                </c:pt>
                <c:pt idx="25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0-4EA6-8DF2-000982602AF6}"/>
            </c:ext>
          </c:extLst>
        </c:ser>
        <c:ser>
          <c:idx val="1"/>
          <c:order val="1"/>
          <c:tx>
            <c:strRef>
              <c:f>stockchart!$C$1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stockchart!$A$2:$A$255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stockchart!$C$2:$C$255</c:f>
              <c:numCache>
                <c:formatCode>#,##0.00##</c:formatCode>
                <c:ptCount val="254"/>
                <c:pt idx="0">
                  <c:v>9.3699999999999992</c:v>
                </c:pt>
                <c:pt idx="1">
                  <c:v>9.36</c:v>
                </c:pt>
                <c:pt idx="2">
                  <c:v>9.69</c:v>
                </c:pt>
                <c:pt idx="3">
                  <c:v>9.69</c:v>
                </c:pt>
                <c:pt idx="4">
                  <c:v>9.5299999999999994</c:v>
                </c:pt>
                <c:pt idx="5">
                  <c:v>9.57</c:v>
                </c:pt>
                <c:pt idx="6">
                  <c:v>9.51</c:v>
                </c:pt>
                <c:pt idx="7">
                  <c:v>9.52</c:v>
                </c:pt>
                <c:pt idx="8">
                  <c:v>9.6</c:v>
                </c:pt>
                <c:pt idx="9">
                  <c:v>9.6</c:v>
                </c:pt>
                <c:pt idx="10">
                  <c:v>9.5399999999999991</c:v>
                </c:pt>
                <c:pt idx="11">
                  <c:v>9.6</c:v>
                </c:pt>
                <c:pt idx="12">
                  <c:v>9.61</c:v>
                </c:pt>
                <c:pt idx="13">
                  <c:v>9.5500000000000007</c:v>
                </c:pt>
                <c:pt idx="14">
                  <c:v>9.5500000000000007</c:v>
                </c:pt>
                <c:pt idx="15">
                  <c:v>9.7200000000000006</c:v>
                </c:pt>
                <c:pt idx="16">
                  <c:v>9.7100000000000009</c:v>
                </c:pt>
                <c:pt idx="17">
                  <c:v>9.94</c:v>
                </c:pt>
                <c:pt idx="18">
                  <c:v>10.23</c:v>
                </c:pt>
                <c:pt idx="19">
                  <c:v>10.16</c:v>
                </c:pt>
                <c:pt idx="20">
                  <c:v>9.98</c:v>
                </c:pt>
                <c:pt idx="21">
                  <c:v>10</c:v>
                </c:pt>
                <c:pt idx="22">
                  <c:v>10.15</c:v>
                </c:pt>
                <c:pt idx="23">
                  <c:v>9.93</c:v>
                </c:pt>
                <c:pt idx="24">
                  <c:v>9.93</c:v>
                </c:pt>
                <c:pt idx="25">
                  <c:v>9.9849999999999994</c:v>
                </c:pt>
                <c:pt idx="26">
                  <c:v>10.029999999999999</c:v>
                </c:pt>
                <c:pt idx="27">
                  <c:v>10.11</c:v>
                </c:pt>
                <c:pt idx="28">
                  <c:v>10.18</c:v>
                </c:pt>
                <c:pt idx="29">
                  <c:v>9.92</c:v>
                </c:pt>
                <c:pt idx="30">
                  <c:v>9.8000000000000007</c:v>
                </c:pt>
                <c:pt idx="31">
                  <c:v>9.73</c:v>
                </c:pt>
                <c:pt idx="32">
                  <c:v>9.8800000000000008</c:v>
                </c:pt>
                <c:pt idx="33">
                  <c:v>9.7799999999999994</c:v>
                </c:pt>
                <c:pt idx="34">
                  <c:v>9.7200000000000006</c:v>
                </c:pt>
                <c:pt idx="35">
                  <c:v>9.76</c:v>
                </c:pt>
                <c:pt idx="36">
                  <c:v>9.86</c:v>
                </c:pt>
                <c:pt idx="37">
                  <c:v>9.82</c:v>
                </c:pt>
                <c:pt idx="38">
                  <c:v>9.7799999999999994</c:v>
                </c:pt>
                <c:pt idx="39">
                  <c:v>9.6199999999999992</c:v>
                </c:pt>
                <c:pt idx="40">
                  <c:v>9.7200000000000006</c:v>
                </c:pt>
                <c:pt idx="41">
                  <c:v>9.73</c:v>
                </c:pt>
                <c:pt idx="42">
                  <c:v>9.73</c:v>
                </c:pt>
                <c:pt idx="43">
                  <c:v>9.7799999999999994</c:v>
                </c:pt>
                <c:pt idx="44">
                  <c:v>9.75</c:v>
                </c:pt>
                <c:pt idx="45">
                  <c:v>9.9</c:v>
                </c:pt>
                <c:pt idx="46">
                  <c:v>9.9499999999999993</c:v>
                </c:pt>
                <c:pt idx="47">
                  <c:v>9.9600000000000009</c:v>
                </c:pt>
                <c:pt idx="48">
                  <c:v>9.9600000000000009</c:v>
                </c:pt>
                <c:pt idx="49">
                  <c:v>9.9600000000000009</c:v>
                </c:pt>
                <c:pt idx="50">
                  <c:v>9.9700000000000006</c:v>
                </c:pt>
                <c:pt idx="51">
                  <c:v>10</c:v>
                </c:pt>
                <c:pt idx="52">
                  <c:v>9.9600000000000009</c:v>
                </c:pt>
                <c:pt idx="53">
                  <c:v>9.84</c:v>
                </c:pt>
                <c:pt idx="54">
                  <c:v>9.83</c:v>
                </c:pt>
                <c:pt idx="55">
                  <c:v>9.9350000000000005</c:v>
                </c:pt>
                <c:pt idx="56">
                  <c:v>9.86</c:v>
                </c:pt>
                <c:pt idx="57">
                  <c:v>9.85</c:v>
                </c:pt>
                <c:pt idx="58">
                  <c:v>9.9700000000000006</c:v>
                </c:pt>
                <c:pt idx="59">
                  <c:v>10.050000000000001</c:v>
                </c:pt>
                <c:pt idx="60">
                  <c:v>10.07</c:v>
                </c:pt>
                <c:pt idx="61">
                  <c:v>10.07</c:v>
                </c:pt>
                <c:pt idx="62">
                  <c:v>10.08</c:v>
                </c:pt>
                <c:pt idx="63">
                  <c:v>10.050000000000001</c:v>
                </c:pt>
                <c:pt idx="64">
                  <c:v>10.07</c:v>
                </c:pt>
                <c:pt idx="65">
                  <c:v>10</c:v>
                </c:pt>
                <c:pt idx="66">
                  <c:v>10.08</c:v>
                </c:pt>
                <c:pt idx="67">
                  <c:v>10.039999999999999</c:v>
                </c:pt>
                <c:pt idx="68">
                  <c:v>10.050000000000001</c:v>
                </c:pt>
                <c:pt idx="69">
                  <c:v>10.199999999999999</c:v>
                </c:pt>
                <c:pt idx="70">
                  <c:v>10.17</c:v>
                </c:pt>
                <c:pt idx="71">
                  <c:v>10.01</c:v>
                </c:pt>
                <c:pt idx="72">
                  <c:v>10</c:v>
                </c:pt>
                <c:pt idx="73">
                  <c:v>10.17</c:v>
                </c:pt>
                <c:pt idx="74">
                  <c:v>10.16</c:v>
                </c:pt>
                <c:pt idx="75">
                  <c:v>10.039999999999999</c:v>
                </c:pt>
                <c:pt idx="76">
                  <c:v>10.09</c:v>
                </c:pt>
                <c:pt idx="77">
                  <c:v>10.02</c:v>
                </c:pt>
                <c:pt idx="78">
                  <c:v>10.050000000000001</c:v>
                </c:pt>
                <c:pt idx="79">
                  <c:v>10.050000000000001</c:v>
                </c:pt>
                <c:pt idx="80">
                  <c:v>10.19</c:v>
                </c:pt>
                <c:pt idx="81">
                  <c:v>10.09</c:v>
                </c:pt>
                <c:pt idx="82">
                  <c:v>10.039999999999999</c:v>
                </c:pt>
                <c:pt idx="83">
                  <c:v>10.029999999999999</c:v>
                </c:pt>
                <c:pt idx="84">
                  <c:v>10.02</c:v>
                </c:pt>
                <c:pt idx="85">
                  <c:v>9.98</c:v>
                </c:pt>
                <c:pt idx="86">
                  <c:v>9.8000000000000007</c:v>
                </c:pt>
                <c:pt idx="87">
                  <c:v>9.89</c:v>
                </c:pt>
                <c:pt idx="88">
                  <c:v>9.89</c:v>
                </c:pt>
                <c:pt idx="89">
                  <c:v>9.8800000000000008</c:v>
                </c:pt>
                <c:pt idx="90">
                  <c:v>9.75</c:v>
                </c:pt>
                <c:pt idx="91">
                  <c:v>9.61</c:v>
                </c:pt>
                <c:pt idx="92">
                  <c:v>9.6</c:v>
                </c:pt>
                <c:pt idx="93">
                  <c:v>9.9</c:v>
                </c:pt>
                <c:pt idx="94">
                  <c:v>9.98</c:v>
                </c:pt>
                <c:pt idx="95">
                  <c:v>10.42</c:v>
                </c:pt>
                <c:pt idx="96">
                  <c:v>9.94</c:v>
                </c:pt>
                <c:pt idx="97">
                  <c:v>9.98</c:v>
                </c:pt>
                <c:pt idx="98">
                  <c:v>10.19</c:v>
                </c:pt>
                <c:pt idx="99">
                  <c:v>10.210000000000001</c:v>
                </c:pt>
                <c:pt idx="100">
                  <c:v>10.130000000000001</c:v>
                </c:pt>
                <c:pt idx="101">
                  <c:v>10.119999999999999</c:v>
                </c:pt>
                <c:pt idx="102">
                  <c:v>10.1</c:v>
                </c:pt>
                <c:pt idx="103">
                  <c:v>10</c:v>
                </c:pt>
                <c:pt idx="104">
                  <c:v>9.89</c:v>
                </c:pt>
                <c:pt idx="105">
                  <c:v>10</c:v>
                </c:pt>
                <c:pt idx="106">
                  <c:v>10.17</c:v>
                </c:pt>
                <c:pt idx="107">
                  <c:v>10.4</c:v>
                </c:pt>
                <c:pt idx="108">
                  <c:v>10.87</c:v>
                </c:pt>
                <c:pt idx="109">
                  <c:v>10.72</c:v>
                </c:pt>
                <c:pt idx="110">
                  <c:v>10.199999999999999</c:v>
                </c:pt>
                <c:pt idx="111">
                  <c:v>10.050000000000001</c:v>
                </c:pt>
                <c:pt idx="112">
                  <c:v>9.9600000000000009</c:v>
                </c:pt>
                <c:pt idx="113">
                  <c:v>10.14</c:v>
                </c:pt>
                <c:pt idx="114">
                  <c:v>0</c:v>
                </c:pt>
                <c:pt idx="115">
                  <c:v>10.59</c:v>
                </c:pt>
                <c:pt idx="116">
                  <c:v>10.47</c:v>
                </c:pt>
                <c:pt idx="117">
                  <c:v>10.33</c:v>
                </c:pt>
                <c:pt idx="118">
                  <c:v>10.3</c:v>
                </c:pt>
                <c:pt idx="119">
                  <c:v>10.14</c:v>
                </c:pt>
                <c:pt idx="120">
                  <c:v>10.18</c:v>
                </c:pt>
                <c:pt idx="121">
                  <c:v>10.25</c:v>
                </c:pt>
                <c:pt idx="122">
                  <c:v>10.23</c:v>
                </c:pt>
                <c:pt idx="123">
                  <c:v>10.34</c:v>
                </c:pt>
                <c:pt idx="124">
                  <c:v>10.5</c:v>
                </c:pt>
                <c:pt idx="125">
                  <c:v>10.210000000000001</c:v>
                </c:pt>
                <c:pt idx="126">
                  <c:v>10.25</c:v>
                </c:pt>
                <c:pt idx="127">
                  <c:v>10.3</c:v>
                </c:pt>
                <c:pt idx="128">
                  <c:v>10.220000000000001</c:v>
                </c:pt>
                <c:pt idx="129">
                  <c:v>10.33</c:v>
                </c:pt>
                <c:pt idx="130">
                  <c:v>10.27</c:v>
                </c:pt>
                <c:pt idx="131">
                  <c:v>10.18</c:v>
                </c:pt>
                <c:pt idx="132">
                  <c:v>10.130000000000001</c:v>
                </c:pt>
                <c:pt idx="133">
                  <c:v>10.08</c:v>
                </c:pt>
                <c:pt idx="134">
                  <c:v>9.8800000000000008</c:v>
                </c:pt>
                <c:pt idx="135">
                  <c:v>9.6999999999999993</c:v>
                </c:pt>
                <c:pt idx="136">
                  <c:v>9.9</c:v>
                </c:pt>
                <c:pt idx="137">
                  <c:v>9.86</c:v>
                </c:pt>
                <c:pt idx="138">
                  <c:v>9.8699999999999992</c:v>
                </c:pt>
                <c:pt idx="139">
                  <c:v>9.7899999999999991</c:v>
                </c:pt>
                <c:pt idx="140">
                  <c:v>9.84</c:v>
                </c:pt>
                <c:pt idx="141">
                  <c:v>10</c:v>
                </c:pt>
                <c:pt idx="142">
                  <c:v>9.9499999999999993</c:v>
                </c:pt>
                <c:pt idx="143">
                  <c:v>9.9</c:v>
                </c:pt>
                <c:pt idx="144">
                  <c:v>9.7899999999999991</c:v>
                </c:pt>
                <c:pt idx="145">
                  <c:v>9.92</c:v>
                </c:pt>
                <c:pt idx="146">
                  <c:v>9.8800000000000008</c:v>
                </c:pt>
                <c:pt idx="147">
                  <c:v>9.89</c:v>
                </c:pt>
                <c:pt idx="148">
                  <c:v>9.9</c:v>
                </c:pt>
                <c:pt idx="149">
                  <c:v>9.83</c:v>
                </c:pt>
                <c:pt idx="150">
                  <c:v>9.6199999999999992</c:v>
                </c:pt>
                <c:pt idx="151">
                  <c:v>9.74</c:v>
                </c:pt>
                <c:pt idx="152">
                  <c:v>9.7899999999999991</c:v>
                </c:pt>
                <c:pt idx="153">
                  <c:v>9.7899999999999991</c:v>
                </c:pt>
                <c:pt idx="154">
                  <c:v>9.7899999999999991</c:v>
                </c:pt>
                <c:pt idx="155">
                  <c:v>9.73</c:v>
                </c:pt>
                <c:pt idx="156">
                  <c:v>9.75</c:v>
                </c:pt>
                <c:pt idx="157">
                  <c:v>9.81</c:v>
                </c:pt>
                <c:pt idx="158">
                  <c:v>9.9499999999999993</c:v>
                </c:pt>
                <c:pt idx="159">
                  <c:v>10.039999999999999</c:v>
                </c:pt>
                <c:pt idx="160">
                  <c:v>10.050000000000001</c:v>
                </c:pt>
                <c:pt idx="161">
                  <c:v>10.08</c:v>
                </c:pt>
                <c:pt idx="162">
                  <c:v>10.1</c:v>
                </c:pt>
                <c:pt idx="163">
                  <c:v>10.14</c:v>
                </c:pt>
                <c:pt idx="164">
                  <c:v>10.26</c:v>
                </c:pt>
                <c:pt idx="165">
                  <c:v>10.06</c:v>
                </c:pt>
                <c:pt idx="166">
                  <c:v>10.15</c:v>
                </c:pt>
                <c:pt idx="167">
                  <c:v>10.09</c:v>
                </c:pt>
                <c:pt idx="168">
                  <c:v>10.210000000000001</c:v>
                </c:pt>
                <c:pt idx="169">
                  <c:v>10.33</c:v>
                </c:pt>
                <c:pt idx="170">
                  <c:v>10.3</c:v>
                </c:pt>
                <c:pt idx="171">
                  <c:v>10.56</c:v>
                </c:pt>
                <c:pt idx="172">
                  <c:v>11.12</c:v>
                </c:pt>
                <c:pt idx="173">
                  <c:v>11.13</c:v>
                </c:pt>
                <c:pt idx="174">
                  <c:v>11.24</c:v>
                </c:pt>
                <c:pt idx="175">
                  <c:v>11.29</c:v>
                </c:pt>
                <c:pt idx="176">
                  <c:v>11.33</c:v>
                </c:pt>
                <c:pt idx="177">
                  <c:v>11.52</c:v>
                </c:pt>
                <c:pt idx="178">
                  <c:v>11.45</c:v>
                </c:pt>
                <c:pt idx="179">
                  <c:v>11.52</c:v>
                </c:pt>
                <c:pt idx="180">
                  <c:v>11.37</c:v>
                </c:pt>
                <c:pt idx="181">
                  <c:v>11.7</c:v>
                </c:pt>
                <c:pt idx="182">
                  <c:v>11.41</c:v>
                </c:pt>
                <c:pt idx="183">
                  <c:v>11.65</c:v>
                </c:pt>
                <c:pt idx="184">
                  <c:v>11.33</c:v>
                </c:pt>
                <c:pt idx="185">
                  <c:v>11.37</c:v>
                </c:pt>
                <c:pt idx="186">
                  <c:v>11.17</c:v>
                </c:pt>
                <c:pt idx="187">
                  <c:v>11.35</c:v>
                </c:pt>
                <c:pt idx="188">
                  <c:v>11.59</c:v>
                </c:pt>
                <c:pt idx="189">
                  <c:v>11.55</c:v>
                </c:pt>
                <c:pt idx="190">
                  <c:v>11.45</c:v>
                </c:pt>
                <c:pt idx="191">
                  <c:v>11.23</c:v>
                </c:pt>
                <c:pt idx="192">
                  <c:v>11.24</c:v>
                </c:pt>
                <c:pt idx="193">
                  <c:v>11.25</c:v>
                </c:pt>
                <c:pt idx="194">
                  <c:v>11.2</c:v>
                </c:pt>
                <c:pt idx="195">
                  <c:v>11.16</c:v>
                </c:pt>
                <c:pt idx="196">
                  <c:v>11.19</c:v>
                </c:pt>
                <c:pt idx="197">
                  <c:v>11.2</c:v>
                </c:pt>
                <c:pt idx="198">
                  <c:v>11.175000000000001</c:v>
                </c:pt>
                <c:pt idx="199">
                  <c:v>11.18</c:v>
                </c:pt>
                <c:pt idx="200">
                  <c:v>11.2</c:v>
                </c:pt>
                <c:pt idx="201">
                  <c:v>11.08</c:v>
                </c:pt>
                <c:pt idx="202">
                  <c:v>11.15</c:v>
                </c:pt>
                <c:pt idx="203">
                  <c:v>11.13</c:v>
                </c:pt>
                <c:pt idx="204">
                  <c:v>11.32</c:v>
                </c:pt>
                <c:pt idx="205">
                  <c:v>11.53</c:v>
                </c:pt>
                <c:pt idx="206">
                  <c:v>11.62</c:v>
                </c:pt>
                <c:pt idx="207">
                  <c:v>12.05</c:v>
                </c:pt>
                <c:pt idx="208">
                  <c:v>11.88</c:v>
                </c:pt>
                <c:pt idx="209">
                  <c:v>11.98</c:v>
                </c:pt>
                <c:pt idx="210">
                  <c:v>12.04</c:v>
                </c:pt>
                <c:pt idx="211">
                  <c:v>12</c:v>
                </c:pt>
                <c:pt idx="212">
                  <c:v>11.71</c:v>
                </c:pt>
                <c:pt idx="213">
                  <c:v>11.615</c:v>
                </c:pt>
                <c:pt idx="214">
                  <c:v>11.725</c:v>
                </c:pt>
                <c:pt idx="215">
                  <c:v>11.6</c:v>
                </c:pt>
                <c:pt idx="216">
                  <c:v>11.75</c:v>
                </c:pt>
                <c:pt idx="217">
                  <c:v>11.69</c:v>
                </c:pt>
                <c:pt idx="218">
                  <c:v>11.67</c:v>
                </c:pt>
                <c:pt idx="219">
                  <c:v>11.28</c:v>
                </c:pt>
                <c:pt idx="220">
                  <c:v>11.24</c:v>
                </c:pt>
                <c:pt idx="221">
                  <c:v>11.28</c:v>
                </c:pt>
                <c:pt idx="222">
                  <c:v>11.5</c:v>
                </c:pt>
                <c:pt idx="223">
                  <c:v>11.6</c:v>
                </c:pt>
                <c:pt idx="224">
                  <c:v>11.41</c:v>
                </c:pt>
                <c:pt idx="225">
                  <c:v>11.38</c:v>
                </c:pt>
                <c:pt idx="226">
                  <c:v>11.19</c:v>
                </c:pt>
                <c:pt idx="227">
                  <c:v>11.28</c:v>
                </c:pt>
                <c:pt idx="228">
                  <c:v>11.42</c:v>
                </c:pt>
                <c:pt idx="229">
                  <c:v>11.65</c:v>
                </c:pt>
                <c:pt idx="230">
                  <c:v>11.46</c:v>
                </c:pt>
                <c:pt idx="231">
                  <c:v>11.7</c:v>
                </c:pt>
                <c:pt idx="232">
                  <c:v>11.84</c:v>
                </c:pt>
                <c:pt idx="233">
                  <c:v>11.73</c:v>
                </c:pt>
                <c:pt idx="234">
                  <c:v>11.75</c:v>
                </c:pt>
                <c:pt idx="235">
                  <c:v>11.64</c:v>
                </c:pt>
                <c:pt idx="236">
                  <c:v>11.36</c:v>
                </c:pt>
                <c:pt idx="237">
                  <c:v>11.63</c:v>
                </c:pt>
                <c:pt idx="238">
                  <c:v>11.58</c:v>
                </c:pt>
                <c:pt idx="239">
                  <c:v>11.6</c:v>
                </c:pt>
                <c:pt idx="240">
                  <c:v>11.44</c:v>
                </c:pt>
                <c:pt idx="241">
                  <c:v>11.32</c:v>
                </c:pt>
                <c:pt idx="242">
                  <c:v>11.17</c:v>
                </c:pt>
                <c:pt idx="243">
                  <c:v>11.2</c:v>
                </c:pt>
                <c:pt idx="244">
                  <c:v>11.29</c:v>
                </c:pt>
                <c:pt idx="245">
                  <c:v>11.35</c:v>
                </c:pt>
                <c:pt idx="246">
                  <c:v>11.33</c:v>
                </c:pt>
                <c:pt idx="247">
                  <c:v>11.25</c:v>
                </c:pt>
                <c:pt idx="248">
                  <c:v>11.44</c:v>
                </c:pt>
                <c:pt idx="249">
                  <c:v>11.5</c:v>
                </c:pt>
                <c:pt idx="250">
                  <c:v>11.56</c:v>
                </c:pt>
                <c:pt idx="251">
                  <c:v>11.57</c:v>
                </c:pt>
                <c:pt idx="252">
                  <c:v>11.58</c:v>
                </c:pt>
                <c:pt idx="25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E0-4EA6-8DF2-000982602AF6}"/>
            </c:ext>
          </c:extLst>
        </c:ser>
        <c:ser>
          <c:idx val="2"/>
          <c:order val="2"/>
          <c:tx>
            <c:strRef>
              <c:f>stockchart!$D$1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ash"/>
            <c:size val="3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stockchart!$A$2:$A$255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stockchart!$D$2:$D$255</c:f>
              <c:numCache>
                <c:formatCode>#,##0.00##</c:formatCode>
                <c:ptCount val="254"/>
                <c:pt idx="0">
                  <c:v>9.2799999999999994</c:v>
                </c:pt>
                <c:pt idx="1">
                  <c:v>9.23</c:v>
                </c:pt>
                <c:pt idx="2">
                  <c:v>9.3000000000000007</c:v>
                </c:pt>
                <c:pt idx="3">
                  <c:v>9.32</c:v>
                </c:pt>
                <c:pt idx="4">
                  <c:v>9.36</c:v>
                </c:pt>
                <c:pt idx="5">
                  <c:v>9.42</c:v>
                </c:pt>
                <c:pt idx="6">
                  <c:v>9.3800000000000008</c:v>
                </c:pt>
                <c:pt idx="7">
                  <c:v>9.4</c:v>
                </c:pt>
                <c:pt idx="8">
                  <c:v>9.44</c:v>
                </c:pt>
                <c:pt idx="9">
                  <c:v>9.41</c:v>
                </c:pt>
                <c:pt idx="10">
                  <c:v>9.4</c:v>
                </c:pt>
                <c:pt idx="11">
                  <c:v>9.36</c:v>
                </c:pt>
                <c:pt idx="12">
                  <c:v>9.5</c:v>
                </c:pt>
                <c:pt idx="13">
                  <c:v>9.3699999999999992</c:v>
                </c:pt>
                <c:pt idx="14">
                  <c:v>9.3699999999999992</c:v>
                </c:pt>
                <c:pt idx="15">
                  <c:v>9.48</c:v>
                </c:pt>
                <c:pt idx="16">
                  <c:v>9.6</c:v>
                </c:pt>
                <c:pt idx="17">
                  <c:v>9.6300000000000008</c:v>
                </c:pt>
                <c:pt idx="18">
                  <c:v>9.7200000000000006</c:v>
                </c:pt>
                <c:pt idx="19">
                  <c:v>9.9</c:v>
                </c:pt>
                <c:pt idx="20">
                  <c:v>9.81</c:v>
                </c:pt>
                <c:pt idx="21">
                  <c:v>9.77</c:v>
                </c:pt>
                <c:pt idx="22">
                  <c:v>9.81</c:v>
                </c:pt>
                <c:pt idx="23">
                  <c:v>9.77</c:v>
                </c:pt>
                <c:pt idx="24">
                  <c:v>9.85</c:v>
                </c:pt>
                <c:pt idx="25">
                  <c:v>9.8800000000000008</c:v>
                </c:pt>
                <c:pt idx="26">
                  <c:v>9.77</c:v>
                </c:pt>
                <c:pt idx="27">
                  <c:v>9.76</c:v>
                </c:pt>
                <c:pt idx="28">
                  <c:v>9.84</c:v>
                </c:pt>
                <c:pt idx="29">
                  <c:v>9.77</c:v>
                </c:pt>
                <c:pt idx="30">
                  <c:v>9.57</c:v>
                </c:pt>
                <c:pt idx="31">
                  <c:v>9.57</c:v>
                </c:pt>
                <c:pt idx="32">
                  <c:v>9.57</c:v>
                </c:pt>
                <c:pt idx="33">
                  <c:v>9.5500000000000007</c:v>
                </c:pt>
                <c:pt idx="34">
                  <c:v>9.66</c:v>
                </c:pt>
                <c:pt idx="35">
                  <c:v>9.5</c:v>
                </c:pt>
                <c:pt idx="36">
                  <c:v>9.6</c:v>
                </c:pt>
                <c:pt idx="37">
                  <c:v>9.64</c:v>
                </c:pt>
                <c:pt idx="38">
                  <c:v>9.5</c:v>
                </c:pt>
                <c:pt idx="39">
                  <c:v>9.5</c:v>
                </c:pt>
                <c:pt idx="40">
                  <c:v>9.52</c:v>
                </c:pt>
                <c:pt idx="41">
                  <c:v>9.5500000000000007</c:v>
                </c:pt>
                <c:pt idx="42">
                  <c:v>9.6</c:v>
                </c:pt>
                <c:pt idx="43">
                  <c:v>9.5500000000000007</c:v>
                </c:pt>
                <c:pt idx="44">
                  <c:v>9.52</c:v>
                </c:pt>
                <c:pt idx="45">
                  <c:v>9.61</c:v>
                </c:pt>
                <c:pt idx="46">
                  <c:v>9.81</c:v>
                </c:pt>
                <c:pt idx="47">
                  <c:v>9.7799999999999994</c:v>
                </c:pt>
                <c:pt idx="48">
                  <c:v>9.7899999999999991</c:v>
                </c:pt>
                <c:pt idx="49">
                  <c:v>9.75</c:v>
                </c:pt>
                <c:pt idx="50">
                  <c:v>9.77</c:v>
                </c:pt>
                <c:pt idx="51">
                  <c:v>9.73</c:v>
                </c:pt>
                <c:pt idx="52">
                  <c:v>9.69</c:v>
                </c:pt>
                <c:pt idx="53">
                  <c:v>9.73</c:v>
                </c:pt>
                <c:pt idx="54">
                  <c:v>9.73</c:v>
                </c:pt>
                <c:pt idx="55">
                  <c:v>9.8000000000000007</c:v>
                </c:pt>
                <c:pt idx="56">
                  <c:v>9.76</c:v>
                </c:pt>
                <c:pt idx="57">
                  <c:v>9.76</c:v>
                </c:pt>
                <c:pt idx="58">
                  <c:v>9.74</c:v>
                </c:pt>
                <c:pt idx="59">
                  <c:v>9.83</c:v>
                </c:pt>
                <c:pt idx="60">
                  <c:v>9.8699999999999992</c:v>
                </c:pt>
                <c:pt idx="61">
                  <c:v>9.8000000000000007</c:v>
                </c:pt>
                <c:pt idx="62">
                  <c:v>9.92</c:v>
                </c:pt>
                <c:pt idx="63">
                  <c:v>9.93</c:v>
                </c:pt>
                <c:pt idx="64">
                  <c:v>9.98</c:v>
                </c:pt>
                <c:pt idx="65">
                  <c:v>9.8800000000000008</c:v>
                </c:pt>
                <c:pt idx="66">
                  <c:v>9.89</c:v>
                </c:pt>
                <c:pt idx="67">
                  <c:v>9.9600000000000009</c:v>
                </c:pt>
                <c:pt idx="68">
                  <c:v>9.92</c:v>
                </c:pt>
                <c:pt idx="69">
                  <c:v>9.9499999999999993</c:v>
                </c:pt>
                <c:pt idx="70">
                  <c:v>9.98</c:v>
                </c:pt>
                <c:pt idx="71">
                  <c:v>9.93</c:v>
                </c:pt>
                <c:pt idx="72">
                  <c:v>9.8800000000000008</c:v>
                </c:pt>
                <c:pt idx="73">
                  <c:v>9.9700000000000006</c:v>
                </c:pt>
                <c:pt idx="74">
                  <c:v>9.91</c:v>
                </c:pt>
                <c:pt idx="75">
                  <c:v>9.9499999999999993</c:v>
                </c:pt>
                <c:pt idx="76">
                  <c:v>9.91</c:v>
                </c:pt>
                <c:pt idx="77">
                  <c:v>9.89</c:v>
                </c:pt>
                <c:pt idx="78">
                  <c:v>9.89</c:v>
                </c:pt>
                <c:pt idx="79">
                  <c:v>9.82</c:v>
                </c:pt>
                <c:pt idx="80">
                  <c:v>9.93</c:v>
                </c:pt>
                <c:pt idx="81">
                  <c:v>9.9600000000000009</c:v>
                </c:pt>
                <c:pt idx="82">
                  <c:v>9.9700000000000006</c:v>
                </c:pt>
                <c:pt idx="83">
                  <c:v>9.92</c:v>
                </c:pt>
                <c:pt idx="84">
                  <c:v>9.86</c:v>
                </c:pt>
                <c:pt idx="85">
                  <c:v>9.67</c:v>
                </c:pt>
                <c:pt idx="86">
                  <c:v>9.65</c:v>
                </c:pt>
                <c:pt idx="87">
                  <c:v>9.75</c:v>
                </c:pt>
                <c:pt idx="88">
                  <c:v>9.7100000000000009</c:v>
                </c:pt>
                <c:pt idx="89">
                  <c:v>9.7100000000000009</c:v>
                </c:pt>
                <c:pt idx="90">
                  <c:v>9.58</c:v>
                </c:pt>
                <c:pt idx="91">
                  <c:v>9.4</c:v>
                </c:pt>
                <c:pt idx="92">
                  <c:v>9.43</c:v>
                </c:pt>
                <c:pt idx="93">
                  <c:v>9.65</c:v>
                </c:pt>
                <c:pt idx="94">
                  <c:v>9.86</c:v>
                </c:pt>
                <c:pt idx="95">
                  <c:v>9.9499999999999993</c:v>
                </c:pt>
                <c:pt idx="96">
                  <c:v>9.74</c:v>
                </c:pt>
                <c:pt idx="97">
                  <c:v>9.84</c:v>
                </c:pt>
                <c:pt idx="98">
                  <c:v>9.9700000000000006</c:v>
                </c:pt>
                <c:pt idx="99">
                  <c:v>10.050000000000001</c:v>
                </c:pt>
                <c:pt idx="100">
                  <c:v>10.02</c:v>
                </c:pt>
                <c:pt idx="101">
                  <c:v>10</c:v>
                </c:pt>
                <c:pt idx="102">
                  <c:v>9.85</c:v>
                </c:pt>
                <c:pt idx="103">
                  <c:v>9.75</c:v>
                </c:pt>
                <c:pt idx="104">
                  <c:v>9.75</c:v>
                </c:pt>
                <c:pt idx="105">
                  <c:v>9.91</c:v>
                </c:pt>
                <c:pt idx="106">
                  <c:v>9.9700000000000006</c:v>
                </c:pt>
                <c:pt idx="107">
                  <c:v>10.050000000000001</c:v>
                </c:pt>
                <c:pt idx="108">
                  <c:v>10.3</c:v>
                </c:pt>
                <c:pt idx="109">
                  <c:v>10.31</c:v>
                </c:pt>
                <c:pt idx="110">
                  <c:v>9.9700000000000006</c:v>
                </c:pt>
                <c:pt idx="111">
                  <c:v>9.92</c:v>
                </c:pt>
                <c:pt idx="112">
                  <c:v>9.86</c:v>
                </c:pt>
                <c:pt idx="113">
                  <c:v>9.9</c:v>
                </c:pt>
                <c:pt idx="114">
                  <c:v>0</c:v>
                </c:pt>
                <c:pt idx="115">
                  <c:v>9.98</c:v>
                </c:pt>
                <c:pt idx="116">
                  <c:v>10.215</c:v>
                </c:pt>
                <c:pt idx="117">
                  <c:v>10.07</c:v>
                </c:pt>
                <c:pt idx="118">
                  <c:v>9.9700000000000006</c:v>
                </c:pt>
                <c:pt idx="119">
                  <c:v>9.93</c:v>
                </c:pt>
                <c:pt idx="120">
                  <c:v>10.029999999999999</c:v>
                </c:pt>
                <c:pt idx="121">
                  <c:v>10.07</c:v>
                </c:pt>
                <c:pt idx="122">
                  <c:v>10.029999999999999</c:v>
                </c:pt>
                <c:pt idx="123">
                  <c:v>10.130000000000001</c:v>
                </c:pt>
                <c:pt idx="124">
                  <c:v>10.09</c:v>
                </c:pt>
                <c:pt idx="125">
                  <c:v>10.065</c:v>
                </c:pt>
                <c:pt idx="126">
                  <c:v>10.119999999999999</c:v>
                </c:pt>
                <c:pt idx="127">
                  <c:v>10.039999999999999</c:v>
                </c:pt>
                <c:pt idx="128">
                  <c:v>10.050000000000001</c:v>
                </c:pt>
                <c:pt idx="129">
                  <c:v>10.050000000000001</c:v>
                </c:pt>
                <c:pt idx="130">
                  <c:v>10.130000000000001</c:v>
                </c:pt>
                <c:pt idx="131">
                  <c:v>10.050000000000001</c:v>
                </c:pt>
                <c:pt idx="132">
                  <c:v>10.039999999999999</c:v>
                </c:pt>
                <c:pt idx="133">
                  <c:v>9.85</c:v>
                </c:pt>
                <c:pt idx="134">
                  <c:v>9.65</c:v>
                </c:pt>
                <c:pt idx="135">
                  <c:v>9.5399999999999991</c:v>
                </c:pt>
                <c:pt idx="136">
                  <c:v>9.68</c:v>
                </c:pt>
                <c:pt idx="137">
                  <c:v>9.7100000000000009</c:v>
                </c:pt>
                <c:pt idx="138">
                  <c:v>9.67</c:v>
                </c:pt>
                <c:pt idx="139">
                  <c:v>9.69</c:v>
                </c:pt>
                <c:pt idx="140">
                  <c:v>9.69</c:v>
                </c:pt>
                <c:pt idx="141">
                  <c:v>9.76</c:v>
                </c:pt>
                <c:pt idx="142">
                  <c:v>9.85</c:v>
                </c:pt>
                <c:pt idx="143">
                  <c:v>9.7100000000000009</c:v>
                </c:pt>
                <c:pt idx="144">
                  <c:v>9.7200000000000006</c:v>
                </c:pt>
                <c:pt idx="145">
                  <c:v>9.69</c:v>
                </c:pt>
                <c:pt idx="146">
                  <c:v>9.7899999999999991</c:v>
                </c:pt>
                <c:pt idx="147">
                  <c:v>9.76</c:v>
                </c:pt>
                <c:pt idx="148">
                  <c:v>9.7100000000000009</c:v>
                </c:pt>
                <c:pt idx="149">
                  <c:v>9.48</c:v>
                </c:pt>
                <c:pt idx="150">
                  <c:v>9.51</c:v>
                </c:pt>
                <c:pt idx="151">
                  <c:v>9.58</c:v>
                </c:pt>
                <c:pt idx="152">
                  <c:v>9.6</c:v>
                </c:pt>
                <c:pt idx="153">
                  <c:v>9.6349999999999998</c:v>
                </c:pt>
                <c:pt idx="154">
                  <c:v>9.6199999999999992</c:v>
                </c:pt>
                <c:pt idx="155">
                  <c:v>9.61</c:v>
                </c:pt>
                <c:pt idx="156">
                  <c:v>9.59</c:v>
                </c:pt>
                <c:pt idx="157">
                  <c:v>9.57</c:v>
                </c:pt>
                <c:pt idx="158">
                  <c:v>9.75</c:v>
                </c:pt>
                <c:pt idx="159">
                  <c:v>9.8000000000000007</c:v>
                </c:pt>
                <c:pt idx="160">
                  <c:v>9.9499999999999993</c:v>
                </c:pt>
                <c:pt idx="161">
                  <c:v>9.93</c:v>
                </c:pt>
                <c:pt idx="162">
                  <c:v>9.9600000000000009</c:v>
                </c:pt>
                <c:pt idx="163">
                  <c:v>9.93</c:v>
                </c:pt>
                <c:pt idx="164">
                  <c:v>10.029999999999999</c:v>
                </c:pt>
                <c:pt idx="165">
                  <c:v>9.98</c:v>
                </c:pt>
                <c:pt idx="166">
                  <c:v>9.9749999999999996</c:v>
                </c:pt>
                <c:pt idx="167">
                  <c:v>9.99</c:v>
                </c:pt>
                <c:pt idx="168">
                  <c:v>10.08</c:v>
                </c:pt>
                <c:pt idx="169">
                  <c:v>10.119999999999999</c:v>
                </c:pt>
                <c:pt idx="170">
                  <c:v>10.050000000000001</c:v>
                </c:pt>
                <c:pt idx="171">
                  <c:v>10.27</c:v>
                </c:pt>
                <c:pt idx="172">
                  <c:v>10.565</c:v>
                </c:pt>
                <c:pt idx="173">
                  <c:v>10.81</c:v>
                </c:pt>
                <c:pt idx="174">
                  <c:v>10.95</c:v>
                </c:pt>
                <c:pt idx="175">
                  <c:v>11.06</c:v>
                </c:pt>
                <c:pt idx="176">
                  <c:v>11.16</c:v>
                </c:pt>
                <c:pt idx="177">
                  <c:v>11.26</c:v>
                </c:pt>
                <c:pt idx="178">
                  <c:v>11.22</c:v>
                </c:pt>
                <c:pt idx="179">
                  <c:v>11.11</c:v>
                </c:pt>
                <c:pt idx="180">
                  <c:v>11.09</c:v>
                </c:pt>
                <c:pt idx="181">
                  <c:v>11.15</c:v>
                </c:pt>
                <c:pt idx="182">
                  <c:v>11.18</c:v>
                </c:pt>
                <c:pt idx="183">
                  <c:v>11.2</c:v>
                </c:pt>
                <c:pt idx="184">
                  <c:v>11.17</c:v>
                </c:pt>
                <c:pt idx="185">
                  <c:v>11.14</c:v>
                </c:pt>
                <c:pt idx="186">
                  <c:v>11.02</c:v>
                </c:pt>
                <c:pt idx="187">
                  <c:v>11.16</c:v>
                </c:pt>
                <c:pt idx="188">
                  <c:v>11.34</c:v>
                </c:pt>
                <c:pt idx="189">
                  <c:v>11.25</c:v>
                </c:pt>
                <c:pt idx="190">
                  <c:v>11.07</c:v>
                </c:pt>
                <c:pt idx="191">
                  <c:v>11.09</c:v>
                </c:pt>
                <c:pt idx="192">
                  <c:v>10.96</c:v>
                </c:pt>
                <c:pt idx="193">
                  <c:v>10.99</c:v>
                </c:pt>
                <c:pt idx="194">
                  <c:v>11.08</c:v>
                </c:pt>
                <c:pt idx="195">
                  <c:v>11</c:v>
                </c:pt>
                <c:pt idx="196">
                  <c:v>11</c:v>
                </c:pt>
                <c:pt idx="197">
                  <c:v>10.87</c:v>
                </c:pt>
                <c:pt idx="198">
                  <c:v>10.9</c:v>
                </c:pt>
                <c:pt idx="199">
                  <c:v>10.97</c:v>
                </c:pt>
                <c:pt idx="200">
                  <c:v>10.97</c:v>
                </c:pt>
                <c:pt idx="201">
                  <c:v>10.87</c:v>
                </c:pt>
                <c:pt idx="202">
                  <c:v>10.87</c:v>
                </c:pt>
                <c:pt idx="203">
                  <c:v>11</c:v>
                </c:pt>
                <c:pt idx="204">
                  <c:v>11.03</c:v>
                </c:pt>
                <c:pt idx="205">
                  <c:v>11.1</c:v>
                </c:pt>
                <c:pt idx="206">
                  <c:v>11.35</c:v>
                </c:pt>
                <c:pt idx="207">
                  <c:v>11.54</c:v>
                </c:pt>
                <c:pt idx="208">
                  <c:v>11.65</c:v>
                </c:pt>
                <c:pt idx="209">
                  <c:v>11.67</c:v>
                </c:pt>
                <c:pt idx="210">
                  <c:v>11.85</c:v>
                </c:pt>
                <c:pt idx="211">
                  <c:v>11.67</c:v>
                </c:pt>
                <c:pt idx="212">
                  <c:v>11.45</c:v>
                </c:pt>
                <c:pt idx="213">
                  <c:v>11.41</c:v>
                </c:pt>
                <c:pt idx="214">
                  <c:v>11.41</c:v>
                </c:pt>
                <c:pt idx="215">
                  <c:v>11.45</c:v>
                </c:pt>
                <c:pt idx="216">
                  <c:v>11.55</c:v>
                </c:pt>
                <c:pt idx="217">
                  <c:v>11.345000000000001</c:v>
                </c:pt>
                <c:pt idx="218">
                  <c:v>11.3</c:v>
                </c:pt>
                <c:pt idx="219">
                  <c:v>11.03</c:v>
                </c:pt>
                <c:pt idx="220">
                  <c:v>10.975</c:v>
                </c:pt>
                <c:pt idx="221">
                  <c:v>10.99</c:v>
                </c:pt>
                <c:pt idx="222">
                  <c:v>11.01</c:v>
                </c:pt>
                <c:pt idx="223">
                  <c:v>11.38</c:v>
                </c:pt>
                <c:pt idx="224">
                  <c:v>11.18</c:v>
                </c:pt>
                <c:pt idx="225">
                  <c:v>11</c:v>
                </c:pt>
                <c:pt idx="226">
                  <c:v>10.81</c:v>
                </c:pt>
                <c:pt idx="227">
                  <c:v>11.13</c:v>
                </c:pt>
                <c:pt idx="228">
                  <c:v>11.02</c:v>
                </c:pt>
                <c:pt idx="229">
                  <c:v>11.2</c:v>
                </c:pt>
                <c:pt idx="230">
                  <c:v>11.2</c:v>
                </c:pt>
                <c:pt idx="231">
                  <c:v>11.27</c:v>
                </c:pt>
                <c:pt idx="232">
                  <c:v>11.57</c:v>
                </c:pt>
                <c:pt idx="233">
                  <c:v>11.52</c:v>
                </c:pt>
                <c:pt idx="234">
                  <c:v>11.5</c:v>
                </c:pt>
                <c:pt idx="235">
                  <c:v>11.32</c:v>
                </c:pt>
                <c:pt idx="236">
                  <c:v>11.2</c:v>
                </c:pt>
                <c:pt idx="237">
                  <c:v>11.4</c:v>
                </c:pt>
                <c:pt idx="238">
                  <c:v>11.36</c:v>
                </c:pt>
                <c:pt idx="239">
                  <c:v>11.345000000000001</c:v>
                </c:pt>
                <c:pt idx="240">
                  <c:v>11.03</c:v>
                </c:pt>
                <c:pt idx="241">
                  <c:v>10.93</c:v>
                </c:pt>
                <c:pt idx="242">
                  <c:v>10.81</c:v>
                </c:pt>
                <c:pt idx="243">
                  <c:v>10.9</c:v>
                </c:pt>
                <c:pt idx="244">
                  <c:v>10.94</c:v>
                </c:pt>
                <c:pt idx="245">
                  <c:v>11.07</c:v>
                </c:pt>
                <c:pt idx="246">
                  <c:v>11.145</c:v>
                </c:pt>
                <c:pt idx="247">
                  <c:v>10.96</c:v>
                </c:pt>
                <c:pt idx="248">
                  <c:v>10.99</c:v>
                </c:pt>
                <c:pt idx="249">
                  <c:v>11.27</c:v>
                </c:pt>
                <c:pt idx="250">
                  <c:v>11.29</c:v>
                </c:pt>
                <c:pt idx="251">
                  <c:v>11.43</c:v>
                </c:pt>
                <c:pt idx="252">
                  <c:v>11.38</c:v>
                </c:pt>
                <c:pt idx="253">
                  <c:v>11.43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E0-4EA6-8DF2-000982602AF6}"/>
            </c:ext>
          </c:extLst>
        </c:ser>
        <c:ser>
          <c:idx val="3"/>
          <c:order val="3"/>
          <c:tx>
            <c:strRef>
              <c:f>stockchart!$E$1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stockchart!$A$2:$A$255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stockchart!$E$2:$E$255</c:f>
              <c:numCache>
                <c:formatCode>#,##0.00##</c:formatCode>
                <c:ptCount val="254"/>
                <c:pt idx="0">
                  <c:v>9.2799999999999994</c:v>
                </c:pt>
                <c:pt idx="1">
                  <c:v>9.3000000000000007</c:v>
                </c:pt>
                <c:pt idx="2">
                  <c:v>9.69</c:v>
                </c:pt>
                <c:pt idx="3">
                  <c:v>9.34</c:v>
                </c:pt>
                <c:pt idx="4">
                  <c:v>9.5299999999999994</c:v>
                </c:pt>
                <c:pt idx="5">
                  <c:v>9.51</c:v>
                </c:pt>
                <c:pt idx="6">
                  <c:v>9.4700000000000006</c:v>
                </c:pt>
                <c:pt idx="7">
                  <c:v>9.52</c:v>
                </c:pt>
                <c:pt idx="8">
                  <c:v>9.5500000000000007</c:v>
                </c:pt>
                <c:pt idx="9">
                  <c:v>9.4499999999999993</c:v>
                </c:pt>
                <c:pt idx="10">
                  <c:v>9.48</c:v>
                </c:pt>
                <c:pt idx="11">
                  <c:v>9.36</c:v>
                </c:pt>
                <c:pt idx="12">
                  <c:v>9.56</c:v>
                </c:pt>
                <c:pt idx="13">
                  <c:v>9.4</c:v>
                </c:pt>
                <c:pt idx="14">
                  <c:v>9.5299999999999994</c:v>
                </c:pt>
                <c:pt idx="15">
                  <c:v>9.65</c:v>
                </c:pt>
                <c:pt idx="16">
                  <c:v>9.6</c:v>
                </c:pt>
                <c:pt idx="17">
                  <c:v>9.64</c:v>
                </c:pt>
                <c:pt idx="18">
                  <c:v>10.09</c:v>
                </c:pt>
                <c:pt idx="19">
                  <c:v>9.9700000000000006</c:v>
                </c:pt>
                <c:pt idx="20">
                  <c:v>9.8800000000000008</c:v>
                </c:pt>
                <c:pt idx="21">
                  <c:v>9.9499999999999993</c:v>
                </c:pt>
                <c:pt idx="22">
                  <c:v>9.8699999999999992</c:v>
                </c:pt>
                <c:pt idx="23">
                  <c:v>9.92</c:v>
                </c:pt>
                <c:pt idx="24">
                  <c:v>9.92</c:v>
                </c:pt>
                <c:pt idx="25">
                  <c:v>9.93</c:v>
                </c:pt>
                <c:pt idx="26">
                  <c:v>9.81</c:v>
                </c:pt>
                <c:pt idx="27">
                  <c:v>10.11</c:v>
                </c:pt>
                <c:pt idx="28">
                  <c:v>9.8699999999999992</c:v>
                </c:pt>
                <c:pt idx="29">
                  <c:v>9.7799999999999994</c:v>
                </c:pt>
                <c:pt idx="30">
                  <c:v>9.6300000000000008</c:v>
                </c:pt>
                <c:pt idx="31">
                  <c:v>9.6300000000000008</c:v>
                </c:pt>
                <c:pt idx="32">
                  <c:v>9.8000000000000007</c:v>
                </c:pt>
                <c:pt idx="33">
                  <c:v>9.5500000000000007</c:v>
                </c:pt>
                <c:pt idx="34">
                  <c:v>9.7200000000000006</c:v>
                </c:pt>
                <c:pt idx="35">
                  <c:v>9.5</c:v>
                </c:pt>
                <c:pt idx="36">
                  <c:v>9.86</c:v>
                </c:pt>
                <c:pt idx="37">
                  <c:v>9.67</c:v>
                </c:pt>
                <c:pt idx="38">
                  <c:v>9.6300000000000008</c:v>
                </c:pt>
                <c:pt idx="39">
                  <c:v>9.52</c:v>
                </c:pt>
                <c:pt idx="40">
                  <c:v>9.66</c:v>
                </c:pt>
                <c:pt idx="41">
                  <c:v>9.7200000000000006</c:v>
                </c:pt>
                <c:pt idx="42">
                  <c:v>9.6199999999999992</c:v>
                </c:pt>
                <c:pt idx="43">
                  <c:v>9.7100000000000009</c:v>
                </c:pt>
                <c:pt idx="44">
                  <c:v>9.58</c:v>
                </c:pt>
                <c:pt idx="45">
                  <c:v>9.9</c:v>
                </c:pt>
                <c:pt idx="46">
                  <c:v>9.81</c:v>
                </c:pt>
                <c:pt idx="47">
                  <c:v>9.92</c:v>
                </c:pt>
                <c:pt idx="48">
                  <c:v>9.9600000000000009</c:v>
                </c:pt>
                <c:pt idx="49">
                  <c:v>9.75</c:v>
                </c:pt>
                <c:pt idx="50">
                  <c:v>9.9700000000000006</c:v>
                </c:pt>
                <c:pt idx="51">
                  <c:v>9.9600000000000009</c:v>
                </c:pt>
                <c:pt idx="52">
                  <c:v>9.7100000000000009</c:v>
                </c:pt>
                <c:pt idx="53">
                  <c:v>9.81</c:v>
                </c:pt>
                <c:pt idx="54">
                  <c:v>9.75</c:v>
                </c:pt>
                <c:pt idx="55">
                  <c:v>9.8800000000000008</c:v>
                </c:pt>
                <c:pt idx="56">
                  <c:v>9.77</c:v>
                </c:pt>
                <c:pt idx="57">
                  <c:v>9.84</c:v>
                </c:pt>
                <c:pt idx="58">
                  <c:v>9.85</c:v>
                </c:pt>
                <c:pt idx="59">
                  <c:v>10.01</c:v>
                </c:pt>
                <c:pt idx="60">
                  <c:v>9.8699999999999992</c:v>
                </c:pt>
                <c:pt idx="61">
                  <c:v>9.92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10.039999999999999</c:v>
                </c:pt>
                <c:pt idx="65">
                  <c:v>9.98</c:v>
                </c:pt>
                <c:pt idx="66">
                  <c:v>10.050000000000001</c:v>
                </c:pt>
                <c:pt idx="67">
                  <c:v>9.9700000000000006</c:v>
                </c:pt>
                <c:pt idx="68">
                  <c:v>10.050000000000001</c:v>
                </c:pt>
                <c:pt idx="69">
                  <c:v>10.199999999999999</c:v>
                </c:pt>
                <c:pt idx="70">
                  <c:v>10.130000000000001</c:v>
                </c:pt>
                <c:pt idx="71">
                  <c:v>9.98</c:v>
                </c:pt>
                <c:pt idx="72">
                  <c:v>10</c:v>
                </c:pt>
                <c:pt idx="73">
                  <c:v>10.16</c:v>
                </c:pt>
                <c:pt idx="74">
                  <c:v>9.92</c:v>
                </c:pt>
                <c:pt idx="75">
                  <c:v>9.99</c:v>
                </c:pt>
                <c:pt idx="76">
                  <c:v>9.9499999999999993</c:v>
                </c:pt>
                <c:pt idx="77">
                  <c:v>9.93</c:v>
                </c:pt>
                <c:pt idx="78">
                  <c:v>10.029999999999999</c:v>
                </c:pt>
                <c:pt idx="79">
                  <c:v>9.92</c:v>
                </c:pt>
                <c:pt idx="80">
                  <c:v>9.9499999999999993</c:v>
                </c:pt>
                <c:pt idx="81">
                  <c:v>10</c:v>
                </c:pt>
                <c:pt idx="82">
                  <c:v>9.9700000000000006</c:v>
                </c:pt>
                <c:pt idx="83">
                  <c:v>10.02</c:v>
                </c:pt>
                <c:pt idx="84">
                  <c:v>9.9499999999999993</c:v>
                </c:pt>
                <c:pt idx="85">
                  <c:v>9.68</c:v>
                </c:pt>
                <c:pt idx="86">
                  <c:v>9.73</c:v>
                </c:pt>
                <c:pt idx="87">
                  <c:v>9.89</c:v>
                </c:pt>
                <c:pt idx="88">
                  <c:v>9.7799999999999994</c:v>
                </c:pt>
                <c:pt idx="89">
                  <c:v>9.7100000000000009</c:v>
                </c:pt>
                <c:pt idx="90">
                  <c:v>9.6300000000000008</c:v>
                </c:pt>
                <c:pt idx="91">
                  <c:v>9.48</c:v>
                </c:pt>
                <c:pt idx="92">
                  <c:v>9.5500000000000007</c:v>
                </c:pt>
                <c:pt idx="93">
                  <c:v>9.84</c:v>
                </c:pt>
                <c:pt idx="94">
                  <c:v>9.94</c:v>
                </c:pt>
                <c:pt idx="95">
                  <c:v>10.35</c:v>
                </c:pt>
                <c:pt idx="96">
                  <c:v>9.75</c:v>
                </c:pt>
                <c:pt idx="97">
                  <c:v>9.8800000000000008</c:v>
                </c:pt>
                <c:pt idx="98">
                  <c:v>10.1</c:v>
                </c:pt>
                <c:pt idx="99">
                  <c:v>10.050000000000001</c:v>
                </c:pt>
                <c:pt idx="100">
                  <c:v>10.06</c:v>
                </c:pt>
                <c:pt idx="101">
                  <c:v>10.08</c:v>
                </c:pt>
                <c:pt idx="102">
                  <c:v>9.9499999999999993</c:v>
                </c:pt>
                <c:pt idx="103">
                  <c:v>9.7799999999999994</c:v>
                </c:pt>
                <c:pt idx="104">
                  <c:v>9.85</c:v>
                </c:pt>
                <c:pt idx="105">
                  <c:v>9.9600000000000009</c:v>
                </c:pt>
                <c:pt idx="106">
                  <c:v>10.1</c:v>
                </c:pt>
                <c:pt idx="107">
                  <c:v>10.31</c:v>
                </c:pt>
                <c:pt idx="108">
                  <c:v>10.61</c:v>
                </c:pt>
                <c:pt idx="109">
                  <c:v>10.35</c:v>
                </c:pt>
                <c:pt idx="110">
                  <c:v>10</c:v>
                </c:pt>
                <c:pt idx="111">
                  <c:v>9.92</c:v>
                </c:pt>
                <c:pt idx="112">
                  <c:v>9.8800000000000008</c:v>
                </c:pt>
                <c:pt idx="113">
                  <c:v>10.06</c:v>
                </c:pt>
                <c:pt idx="114">
                  <c:v>10.06</c:v>
                </c:pt>
                <c:pt idx="115">
                  <c:v>10.55</c:v>
                </c:pt>
                <c:pt idx="116">
                  <c:v>10.25</c:v>
                </c:pt>
                <c:pt idx="117">
                  <c:v>10.26</c:v>
                </c:pt>
                <c:pt idx="118">
                  <c:v>10.029999999999999</c:v>
                </c:pt>
                <c:pt idx="119">
                  <c:v>10.07</c:v>
                </c:pt>
                <c:pt idx="120">
                  <c:v>10.11</c:v>
                </c:pt>
                <c:pt idx="121">
                  <c:v>10.220000000000001</c:v>
                </c:pt>
                <c:pt idx="122">
                  <c:v>10.18</c:v>
                </c:pt>
                <c:pt idx="123">
                  <c:v>10.34</c:v>
                </c:pt>
                <c:pt idx="124">
                  <c:v>10.18</c:v>
                </c:pt>
                <c:pt idx="125">
                  <c:v>10.19</c:v>
                </c:pt>
                <c:pt idx="126">
                  <c:v>10.210000000000001</c:v>
                </c:pt>
                <c:pt idx="127">
                  <c:v>10.1</c:v>
                </c:pt>
                <c:pt idx="128">
                  <c:v>10.11</c:v>
                </c:pt>
                <c:pt idx="129">
                  <c:v>10.32</c:v>
                </c:pt>
                <c:pt idx="130">
                  <c:v>10.130000000000001</c:v>
                </c:pt>
                <c:pt idx="131">
                  <c:v>10.06</c:v>
                </c:pt>
                <c:pt idx="132">
                  <c:v>10.08</c:v>
                </c:pt>
                <c:pt idx="133">
                  <c:v>9.8800000000000008</c:v>
                </c:pt>
                <c:pt idx="134">
                  <c:v>9.69</c:v>
                </c:pt>
                <c:pt idx="135">
                  <c:v>9.56</c:v>
                </c:pt>
                <c:pt idx="136">
                  <c:v>9.73</c:v>
                </c:pt>
                <c:pt idx="137">
                  <c:v>9.86</c:v>
                </c:pt>
                <c:pt idx="138">
                  <c:v>9.74</c:v>
                </c:pt>
                <c:pt idx="139">
                  <c:v>9.6999999999999993</c:v>
                </c:pt>
                <c:pt idx="140">
                  <c:v>9.81</c:v>
                </c:pt>
                <c:pt idx="141">
                  <c:v>10</c:v>
                </c:pt>
                <c:pt idx="142">
                  <c:v>9.85</c:v>
                </c:pt>
                <c:pt idx="143">
                  <c:v>9.7200000000000006</c:v>
                </c:pt>
                <c:pt idx="144">
                  <c:v>9.76</c:v>
                </c:pt>
                <c:pt idx="145">
                  <c:v>9.76</c:v>
                </c:pt>
                <c:pt idx="146">
                  <c:v>9.82</c:v>
                </c:pt>
                <c:pt idx="147">
                  <c:v>9.85</c:v>
                </c:pt>
                <c:pt idx="148">
                  <c:v>9.9</c:v>
                </c:pt>
                <c:pt idx="149">
                  <c:v>9.5399999999999991</c:v>
                </c:pt>
                <c:pt idx="150">
                  <c:v>9.5500000000000007</c:v>
                </c:pt>
                <c:pt idx="151">
                  <c:v>9.7200000000000006</c:v>
                </c:pt>
                <c:pt idx="152">
                  <c:v>9.7200000000000006</c:v>
                </c:pt>
                <c:pt idx="153">
                  <c:v>9.77</c:v>
                </c:pt>
                <c:pt idx="154">
                  <c:v>9.65</c:v>
                </c:pt>
                <c:pt idx="155">
                  <c:v>9.68</c:v>
                </c:pt>
                <c:pt idx="156">
                  <c:v>9.59</c:v>
                </c:pt>
                <c:pt idx="157">
                  <c:v>9.81</c:v>
                </c:pt>
                <c:pt idx="158">
                  <c:v>9.92</c:v>
                </c:pt>
                <c:pt idx="159">
                  <c:v>10</c:v>
                </c:pt>
                <c:pt idx="160">
                  <c:v>10.02</c:v>
                </c:pt>
                <c:pt idx="161">
                  <c:v>10.07</c:v>
                </c:pt>
                <c:pt idx="162">
                  <c:v>9.9600000000000009</c:v>
                </c:pt>
                <c:pt idx="163">
                  <c:v>10.14</c:v>
                </c:pt>
                <c:pt idx="164">
                  <c:v>10.029999999999999</c:v>
                </c:pt>
                <c:pt idx="165">
                  <c:v>10.02</c:v>
                </c:pt>
                <c:pt idx="166">
                  <c:v>10.07</c:v>
                </c:pt>
                <c:pt idx="167">
                  <c:v>10.01</c:v>
                </c:pt>
                <c:pt idx="168">
                  <c:v>10.14</c:v>
                </c:pt>
                <c:pt idx="169">
                  <c:v>10.28</c:v>
                </c:pt>
                <c:pt idx="170">
                  <c:v>10.27</c:v>
                </c:pt>
                <c:pt idx="171">
                  <c:v>10.5</c:v>
                </c:pt>
                <c:pt idx="172">
                  <c:v>10.9</c:v>
                </c:pt>
                <c:pt idx="173">
                  <c:v>11.08</c:v>
                </c:pt>
                <c:pt idx="174">
                  <c:v>11.1</c:v>
                </c:pt>
                <c:pt idx="175">
                  <c:v>11.08</c:v>
                </c:pt>
                <c:pt idx="176">
                  <c:v>11.26</c:v>
                </c:pt>
                <c:pt idx="177">
                  <c:v>11.4</c:v>
                </c:pt>
                <c:pt idx="178">
                  <c:v>11.26</c:v>
                </c:pt>
                <c:pt idx="179">
                  <c:v>11.11</c:v>
                </c:pt>
                <c:pt idx="180">
                  <c:v>11.24</c:v>
                </c:pt>
                <c:pt idx="181">
                  <c:v>11.15</c:v>
                </c:pt>
                <c:pt idx="182">
                  <c:v>11.39</c:v>
                </c:pt>
                <c:pt idx="183">
                  <c:v>11.27</c:v>
                </c:pt>
                <c:pt idx="184">
                  <c:v>11.33</c:v>
                </c:pt>
                <c:pt idx="185">
                  <c:v>11.17</c:v>
                </c:pt>
                <c:pt idx="186">
                  <c:v>11.14</c:v>
                </c:pt>
                <c:pt idx="187">
                  <c:v>11.31</c:v>
                </c:pt>
                <c:pt idx="188">
                  <c:v>11.42</c:v>
                </c:pt>
                <c:pt idx="189">
                  <c:v>11.41</c:v>
                </c:pt>
                <c:pt idx="190">
                  <c:v>11.17</c:v>
                </c:pt>
                <c:pt idx="191">
                  <c:v>11.18</c:v>
                </c:pt>
                <c:pt idx="192">
                  <c:v>11.08</c:v>
                </c:pt>
                <c:pt idx="193">
                  <c:v>11.08</c:v>
                </c:pt>
                <c:pt idx="194">
                  <c:v>11.16</c:v>
                </c:pt>
                <c:pt idx="195">
                  <c:v>11.04</c:v>
                </c:pt>
                <c:pt idx="196">
                  <c:v>11.17</c:v>
                </c:pt>
                <c:pt idx="197">
                  <c:v>10.9</c:v>
                </c:pt>
                <c:pt idx="198">
                  <c:v>11.16</c:v>
                </c:pt>
                <c:pt idx="199">
                  <c:v>11.06</c:v>
                </c:pt>
                <c:pt idx="200">
                  <c:v>11.12</c:v>
                </c:pt>
                <c:pt idx="201">
                  <c:v>10.89</c:v>
                </c:pt>
                <c:pt idx="202">
                  <c:v>11.07</c:v>
                </c:pt>
                <c:pt idx="203">
                  <c:v>11.12</c:v>
                </c:pt>
                <c:pt idx="204">
                  <c:v>11.27</c:v>
                </c:pt>
                <c:pt idx="205">
                  <c:v>11.46</c:v>
                </c:pt>
                <c:pt idx="206">
                  <c:v>11.62</c:v>
                </c:pt>
                <c:pt idx="207">
                  <c:v>11.78</c:v>
                </c:pt>
                <c:pt idx="208">
                  <c:v>11.66</c:v>
                </c:pt>
                <c:pt idx="209">
                  <c:v>11.95</c:v>
                </c:pt>
                <c:pt idx="210">
                  <c:v>11.97</c:v>
                </c:pt>
                <c:pt idx="211">
                  <c:v>11.67</c:v>
                </c:pt>
                <c:pt idx="212">
                  <c:v>11.5</c:v>
                </c:pt>
                <c:pt idx="213">
                  <c:v>11.61</c:v>
                </c:pt>
                <c:pt idx="214">
                  <c:v>11.58</c:v>
                </c:pt>
                <c:pt idx="215">
                  <c:v>11.46</c:v>
                </c:pt>
                <c:pt idx="216">
                  <c:v>11.66</c:v>
                </c:pt>
                <c:pt idx="217">
                  <c:v>11.4</c:v>
                </c:pt>
                <c:pt idx="218">
                  <c:v>11.3</c:v>
                </c:pt>
                <c:pt idx="219">
                  <c:v>11.04</c:v>
                </c:pt>
                <c:pt idx="220">
                  <c:v>11.13</c:v>
                </c:pt>
                <c:pt idx="221">
                  <c:v>11.27</c:v>
                </c:pt>
                <c:pt idx="222">
                  <c:v>11.29</c:v>
                </c:pt>
                <c:pt idx="223">
                  <c:v>11.41</c:v>
                </c:pt>
                <c:pt idx="224">
                  <c:v>11.25</c:v>
                </c:pt>
                <c:pt idx="225">
                  <c:v>11.01</c:v>
                </c:pt>
                <c:pt idx="226">
                  <c:v>11.08</c:v>
                </c:pt>
                <c:pt idx="227">
                  <c:v>11.19</c:v>
                </c:pt>
                <c:pt idx="228">
                  <c:v>11.2</c:v>
                </c:pt>
                <c:pt idx="229">
                  <c:v>11.42</c:v>
                </c:pt>
                <c:pt idx="230">
                  <c:v>11.4</c:v>
                </c:pt>
                <c:pt idx="231">
                  <c:v>11.6</c:v>
                </c:pt>
                <c:pt idx="232">
                  <c:v>11.57</c:v>
                </c:pt>
                <c:pt idx="233">
                  <c:v>11.63</c:v>
                </c:pt>
                <c:pt idx="234">
                  <c:v>11.61</c:v>
                </c:pt>
                <c:pt idx="235">
                  <c:v>11.34</c:v>
                </c:pt>
                <c:pt idx="236">
                  <c:v>11.36</c:v>
                </c:pt>
                <c:pt idx="237">
                  <c:v>11.58</c:v>
                </c:pt>
                <c:pt idx="238">
                  <c:v>11.36</c:v>
                </c:pt>
                <c:pt idx="239">
                  <c:v>11.44</c:v>
                </c:pt>
                <c:pt idx="240">
                  <c:v>11.09</c:v>
                </c:pt>
                <c:pt idx="241">
                  <c:v>10.93</c:v>
                </c:pt>
                <c:pt idx="242">
                  <c:v>10.87</c:v>
                </c:pt>
                <c:pt idx="243">
                  <c:v>10.97</c:v>
                </c:pt>
                <c:pt idx="244">
                  <c:v>10.98</c:v>
                </c:pt>
                <c:pt idx="245">
                  <c:v>11.3</c:v>
                </c:pt>
                <c:pt idx="246">
                  <c:v>11.26</c:v>
                </c:pt>
                <c:pt idx="247">
                  <c:v>10.96</c:v>
                </c:pt>
                <c:pt idx="248">
                  <c:v>11.35</c:v>
                </c:pt>
                <c:pt idx="249">
                  <c:v>11.39</c:v>
                </c:pt>
                <c:pt idx="250">
                  <c:v>11.56</c:v>
                </c:pt>
                <c:pt idx="251">
                  <c:v>11.55</c:v>
                </c:pt>
                <c:pt idx="252">
                  <c:v>11.57</c:v>
                </c:pt>
                <c:pt idx="25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E0-4EA6-8DF2-000982602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09165775"/>
        <c:axId val="509153775"/>
      </c:stockChart>
      <c:dateAx>
        <c:axId val="509165775"/>
        <c:scaling>
          <c:orientation val="minMax"/>
        </c:scaling>
        <c:delete val="0"/>
        <c:axPos val="b"/>
        <c:numFmt formatCode="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53775"/>
        <c:crosses val="autoZero"/>
        <c:auto val="1"/>
        <c:lblOffset val="100"/>
        <c:baseTimeUnit val="days"/>
        <c:majorUnit val="15"/>
        <c:majorTimeUnit val="days"/>
      </c:dateAx>
      <c:valAx>
        <c:axId val="509153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6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Capital($M)</a:t>
            </a:r>
            <a:r>
              <a:rPr lang="en-US" baseline="0"/>
              <a:t> vs Issued Shares</a:t>
            </a:r>
            <a:endParaRPr lang="en-US"/>
          </a:p>
        </c:rich>
      </c:tx>
      <c:layout>
        <c:manualLayout>
          <c:xMode val="edge"/>
          <c:yMode val="edge"/>
          <c:x val="0.45967263313665729"/>
          <c:y val="2.159244264507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'Capital vs Issued shares'!$C$1</c:f>
              <c:strCache>
                <c:ptCount val="1"/>
                <c:pt idx="0">
                  <c:v>Shares on Issue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'Capital vs Issued shares'!$A$2:$A$255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'Capital vs Issued shares'!$C$2:$C$255</c:f>
              <c:numCache>
                <c:formatCode>#,##0.00##</c:formatCode>
                <c:ptCount val="254"/>
                <c:pt idx="0">
                  <c:v>832567631</c:v>
                </c:pt>
                <c:pt idx="1">
                  <c:v>832567631</c:v>
                </c:pt>
                <c:pt idx="2">
                  <c:v>832567631</c:v>
                </c:pt>
                <c:pt idx="3">
                  <c:v>832567631</c:v>
                </c:pt>
                <c:pt idx="4">
                  <c:v>832567631</c:v>
                </c:pt>
                <c:pt idx="5">
                  <c:v>832567631</c:v>
                </c:pt>
                <c:pt idx="6">
                  <c:v>832567631</c:v>
                </c:pt>
                <c:pt idx="7">
                  <c:v>832567631</c:v>
                </c:pt>
                <c:pt idx="8">
                  <c:v>832567631</c:v>
                </c:pt>
                <c:pt idx="9">
                  <c:v>832567631</c:v>
                </c:pt>
                <c:pt idx="10">
                  <c:v>832567631</c:v>
                </c:pt>
                <c:pt idx="11">
                  <c:v>832567631</c:v>
                </c:pt>
                <c:pt idx="12">
                  <c:v>832567631</c:v>
                </c:pt>
                <c:pt idx="13">
                  <c:v>832567631</c:v>
                </c:pt>
                <c:pt idx="14">
                  <c:v>832567631</c:v>
                </c:pt>
                <c:pt idx="15">
                  <c:v>832567631</c:v>
                </c:pt>
                <c:pt idx="16">
                  <c:v>832567631</c:v>
                </c:pt>
                <c:pt idx="17">
                  <c:v>832567631</c:v>
                </c:pt>
                <c:pt idx="18">
                  <c:v>832567631</c:v>
                </c:pt>
                <c:pt idx="19">
                  <c:v>832567631</c:v>
                </c:pt>
                <c:pt idx="20">
                  <c:v>832567631</c:v>
                </c:pt>
                <c:pt idx="21">
                  <c:v>832567631</c:v>
                </c:pt>
                <c:pt idx="22">
                  <c:v>832567631</c:v>
                </c:pt>
                <c:pt idx="23">
                  <c:v>832567631</c:v>
                </c:pt>
                <c:pt idx="24">
                  <c:v>832567631</c:v>
                </c:pt>
                <c:pt idx="25">
                  <c:v>832567631</c:v>
                </c:pt>
                <c:pt idx="26">
                  <c:v>832567631</c:v>
                </c:pt>
                <c:pt idx="27">
                  <c:v>832567631</c:v>
                </c:pt>
                <c:pt idx="28">
                  <c:v>832567631</c:v>
                </c:pt>
                <c:pt idx="29">
                  <c:v>832567631</c:v>
                </c:pt>
                <c:pt idx="30">
                  <c:v>832567631</c:v>
                </c:pt>
                <c:pt idx="31">
                  <c:v>832567631</c:v>
                </c:pt>
                <c:pt idx="32">
                  <c:v>832567631</c:v>
                </c:pt>
                <c:pt idx="33">
                  <c:v>832567631</c:v>
                </c:pt>
                <c:pt idx="34">
                  <c:v>832567631</c:v>
                </c:pt>
                <c:pt idx="35">
                  <c:v>832567631</c:v>
                </c:pt>
                <c:pt idx="36">
                  <c:v>832567631</c:v>
                </c:pt>
                <c:pt idx="37">
                  <c:v>832567631</c:v>
                </c:pt>
                <c:pt idx="38">
                  <c:v>832567631</c:v>
                </c:pt>
                <c:pt idx="39">
                  <c:v>832567631</c:v>
                </c:pt>
                <c:pt idx="40">
                  <c:v>832567631</c:v>
                </c:pt>
                <c:pt idx="41">
                  <c:v>832567631</c:v>
                </c:pt>
                <c:pt idx="42">
                  <c:v>832567631</c:v>
                </c:pt>
                <c:pt idx="43">
                  <c:v>832567631</c:v>
                </c:pt>
                <c:pt idx="44">
                  <c:v>832567631</c:v>
                </c:pt>
                <c:pt idx="45">
                  <c:v>832567631</c:v>
                </c:pt>
                <c:pt idx="46">
                  <c:v>832567631</c:v>
                </c:pt>
                <c:pt idx="47">
                  <c:v>832567631</c:v>
                </c:pt>
                <c:pt idx="48">
                  <c:v>832567631</c:v>
                </c:pt>
                <c:pt idx="49">
                  <c:v>832567631</c:v>
                </c:pt>
                <c:pt idx="50">
                  <c:v>832567631</c:v>
                </c:pt>
                <c:pt idx="51">
                  <c:v>832567631</c:v>
                </c:pt>
                <c:pt idx="52">
                  <c:v>832567631</c:v>
                </c:pt>
                <c:pt idx="53">
                  <c:v>832567631</c:v>
                </c:pt>
                <c:pt idx="54">
                  <c:v>832567631</c:v>
                </c:pt>
                <c:pt idx="55">
                  <c:v>832567631</c:v>
                </c:pt>
                <c:pt idx="56">
                  <c:v>832567631</c:v>
                </c:pt>
                <c:pt idx="57">
                  <c:v>832567631</c:v>
                </c:pt>
                <c:pt idx="58">
                  <c:v>832567631</c:v>
                </c:pt>
                <c:pt idx="59">
                  <c:v>832567631</c:v>
                </c:pt>
                <c:pt idx="60">
                  <c:v>832567631</c:v>
                </c:pt>
                <c:pt idx="61">
                  <c:v>832567631</c:v>
                </c:pt>
                <c:pt idx="62">
                  <c:v>832567631</c:v>
                </c:pt>
                <c:pt idx="63">
                  <c:v>832567631</c:v>
                </c:pt>
                <c:pt idx="64">
                  <c:v>832567631</c:v>
                </c:pt>
                <c:pt idx="65">
                  <c:v>832567631</c:v>
                </c:pt>
                <c:pt idx="66">
                  <c:v>832567631</c:v>
                </c:pt>
                <c:pt idx="67">
                  <c:v>832567631</c:v>
                </c:pt>
                <c:pt idx="68">
                  <c:v>832567631</c:v>
                </c:pt>
                <c:pt idx="69">
                  <c:v>832567631</c:v>
                </c:pt>
                <c:pt idx="70">
                  <c:v>832567631</c:v>
                </c:pt>
                <c:pt idx="71">
                  <c:v>832567631</c:v>
                </c:pt>
                <c:pt idx="72">
                  <c:v>832567631</c:v>
                </c:pt>
                <c:pt idx="73">
                  <c:v>832567631</c:v>
                </c:pt>
                <c:pt idx="74">
                  <c:v>832567631</c:v>
                </c:pt>
                <c:pt idx="75">
                  <c:v>832567631</c:v>
                </c:pt>
                <c:pt idx="76">
                  <c:v>832567631</c:v>
                </c:pt>
                <c:pt idx="77">
                  <c:v>832567631</c:v>
                </c:pt>
                <c:pt idx="78">
                  <c:v>832567631</c:v>
                </c:pt>
                <c:pt idx="79">
                  <c:v>832567631</c:v>
                </c:pt>
                <c:pt idx="80">
                  <c:v>832567631</c:v>
                </c:pt>
                <c:pt idx="81">
                  <c:v>832567631</c:v>
                </c:pt>
                <c:pt idx="82">
                  <c:v>832567631</c:v>
                </c:pt>
                <c:pt idx="83">
                  <c:v>832567631</c:v>
                </c:pt>
                <c:pt idx="84">
                  <c:v>832567631</c:v>
                </c:pt>
                <c:pt idx="85">
                  <c:v>832567631</c:v>
                </c:pt>
                <c:pt idx="86">
                  <c:v>832567631</c:v>
                </c:pt>
                <c:pt idx="87">
                  <c:v>832567631</c:v>
                </c:pt>
                <c:pt idx="88">
                  <c:v>832567631</c:v>
                </c:pt>
                <c:pt idx="89">
                  <c:v>832567631</c:v>
                </c:pt>
                <c:pt idx="90">
                  <c:v>832567631</c:v>
                </c:pt>
                <c:pt idx="91">
                  <c:v>832567631</c:v>
                </c:pt>
                <c:pt idx="92">
                  <c:v>832567631</c:v>
                </c:pt>
                <c:pt idx="93">
                  <c:v>832567631</c:v>
                </c:pt>
                <c:pt idx="94">
                  <c:v>832567631</c:v>
                </c:pt>
                <c:pt idx="95">
                  <c:v>832567631</c:v>
                </c:pt>
                <c:pt idx="96">
                  <c:v>832567631</c:v>
                </c:pt>
                <c:pt idx="97">
                  <c:v>832567631</c:v>
                </c:pt>
                <c:pt idx="98">
                  <c:v>832567631</c:v>
                </c:pt>
                <c:pt idx="99">
                  <c:v>832567631</c:v>
                </c:pt>
                <c:pt idx="100">
                  <c:v>832567631</c:v>
                </c:pt>
                <c:pt idx="101">
                  <c:v>837274099</c:v>
                </c:pt>
                <c:pt idx="102">
                  <c:v>837274099</c:v>
                </c:pt>
                <c:pt idx="103">
                  <c:v>837274099</c:v>
                </c:pt>
                <c:pt idx="104">
                  <c:v>837274099</c:v>
                </c:pt>
                <c:pt idx="105">
                  <c:v>837274099</c:v>
                </c:pt>
                <c:pt idx="106">
                  <c:v>837274099</c:v>
                </c:pt>
                <c:pt idx="107">
                  <c:v>837274099</c:v>
                </c:pt>
                <c:pt idx="108">
                  <c:v>837274099</c:v>
                </c:pt>
                <c:pt idx="109">
                  <c:v>837274099</c:v>
                </c:pt>
                <c:pt idx="110">
                  <c:v>837274099</c:v>
                </c:pt>
                <c:pt idx="111">
                  <c:v>837274099</c:v>
                </c:pt>
                <c:pt idx="112">
                  <c:v>837274099</c:v>
                </c:pt>
                <c:pt idx="113">
                  <c:v>837274099</c:v>
                </c:pt>
                <c:pt idx="114">
                  <c:v>837274099</c:v>
                </c:pt>
                <c:pt idx="115">
                  <c:v>837274099</c:v>
                </c:pt>
                <c:pt idx="116">
                  <c:v>837274099</c:v>
                </c:pt>
                <c:pt idx="117">
                  <c:v>935796267</c:v>
                </c:pt>
                <c:pt idx="118">
                  <c:v>935796267</c:v>
                </c:pt>
                <c:pt idx="119">
                  <c:v>935796267</c:v>
                </c:pt>
                <c:pt idx="120">
                  <c:v>935796267</c:v>
                </c:pt>
                <c:pt idx="121">
                  <c:v>939448680</c:v>
                </c:pt>
                <c:pt idx="122">
                  <c:v>939448680</c:v>
                </c:pt>
                <c:pt idx="123">
                  <c:v>939448680</c:v>
                </c:pt>
                <c:pt idx="124">
                  <c:v>939448680</c:v>
                </c:pt>
                <c:pt idx="125">
                  <c:v>939448680</c:v>
                </c:pt>
                <c:pt idx="126">
                  <c:v>939448680</c:v>
                </c:pt>
                <c:pt idx="127">
                  <c:v>939448680</c:v>
                </c:pt>
                <c:pt idx="128">
                  <c:v>939448680</c:v>
                </c:pt>
                <c:pt idx="129">
                  <c:v>939448680</c:v>
                </c:pt>
                <c:pt idx="130">
                  <c:v>939448680</c:v>
                </c:pt>
                <c:pt idx="131">
                  <c:v>939448680</c:v>
                </c:pt>
                <c:pt idx="132">
                  <c:v>939448680</c:v>
                </c:pt>
                <c:pt idx="133">
                  <c:v>939448680</c:v>
                </c:pt>
                <c:pt idx="134">
                  <c:v>939448680</c:v>
                </c:pt>
                <c:pt idx="135">
                  <c:v>966542280</c:v>
                </c:pt>
                <c:pt idx="136">
                  <c:v>966542280</c:v>
                </c:pt>
                <c:pt idx="137">
                  <c:v>966542280</c:v>
                </c:pt>
                <c:pt idx="138">
                  <c:v>966542280</c:v>
                </c:pt>
                <c:pt idx="139">
                  <c:v>966542280</c:v>
                </c:pt>
                <c:pt idx="140">
                  <c:v>966542280</c:v>
                </c:pt>
                <c:pt idx="141">
                  <c:v>966542280</c:v>
                </c:pt>
                <c:pt idx="142">
                  <c:v>966542280</c:v>
                </c:pt>
                <c:pt idx="143">
                  <c:v>966542280</c:v>
                </c:pt>
                <c:pt idx="144">
                  <c:v>966542280</c:v>
                </c:pt>
                <c:pt idx="145">
                  <c:v>966542280</c:v>
                </c:pt>
                <c:pt idx="146">
                  <c:v>966542280</c:v>
                </c:pt>
                <c:pt idx="147">
                  <c:v>966542280</c:v>
                </c:pt>
                <c:pt idx="148">
                  <c:v>966542280</c:v>
                </c:pt>
                <c:pt idx="149">
                  <c:v>966542280</c:v>
                </c:pt>
                <c:pt idx="150">
                  <c:v>966542280</c:v>
                </c:pt>
                <c:pt idx="151">
                  <c:v>966542280</c:v>
                </c:pt>
                <c:pt idx="152">
                  <c:v>966542280</c:v>
                </c:pt>
                <c:pt idx="153">
                  <c:v>966542280</c:v>
                </c:pt>
                <c:pt idx="154">
                  <c:v>966542280</c:v>
                </c:pt>
                <c:pt idx="155">
                  <c:v>966542280</c:v>
                </c:pt>
                <c:pt idx="156">
                  <c:v>966542280</c:v>
                </c:pt>
                <c:pt idx="157">
                  <c:v>966542280</c:v>
                </c:pt>
                <c:pt idx="158">
                  <c:v>966542280</c:v>
                </c:pt>
                <c:pt idx="159">
                  <c:v>966542280</c:v>
                </c:pt>
                <c:pt idx="160">
                  <c:v>966542280</c:v>
                </c:pt>
                <c:pt idx="161">
                  <c:v>966542280</c:v>
                </c:pt>
                <c:pt idx="162">
                  <c:v>966542280</c:v>
                </c:pt>
                <c:pt idx="163">
                  <c:v>966542280</c:v>
                </c:pt>
                <c:pt idx="164">
                  <c:v>966542280</c:v>
                </c:pt>
                <c:pt idx="165">
                  <c:v>966542280</c:v>
                </c:pt>
                <c:pt idx="166">
                  <c:v>966542280</c:v>
                </c:pt>
                <c:pt idx="167">
                  <c:v>966542280</c:v>
                </c:pt>
                <c:pt idx="168">
                  <c:v>966542280</c:v>
                </c:pt>
                <c:pt idx="169">
                  <c:v>966542280</c:v>
                </c:pt>
                <c:pt idx="170">
                  <c:v>966542280</c:v>
                </c:pt>
                <c:pt idx="171">
                  <c:v>966542280</c:v>
                </c:pt>
                <c:pt idx="172">
                  <c:v>966542280</c:v>
                </c:pt>
                <c:pt idx="173">
                  <c:v>966542280</c:v>
                </c:pt>
                <c:pt idx="174">
                  <c:v>966542280</c:v>
                </c:pt>
                <c:pt idx="175">
                  <c:v>966542280</c:v>
                </c:pt>
                <c:pt idx="176">
                  <c:v>966542280</c:v>
                </c:pt>
                <c:pt idx="177">
                  <c:v>966542280</c:v>
                </c:pt>
                <c:pt idx="178">
                  <c:v>966542280</c:v>
                </c:pt>
                <c:pt idx="179">
                  <c:v>966542280</c:v>
                </c:pt>
                <c:pt idx="180">
                  <c:v>966542280</c:v>
                </c:pt>
                <c:pt idx="181">
                  <c:v>966542280</c:v>
                </c:pt>
                <c:pt idx="182">
                  <c:v>966542280</c:v>
                </c:pt>
                <c:pt idx="183">
                  <c:v>966542280</c:v>
                </c:pt>
                <c:pt idx="184">
                  <c:v>966542280</c:v>
                </c:pt>
                <c:pt idx="185">
                  <c:v>966542280</c:v>
                </c:pt>
                <c:pt idx="186">
                  <c:v>966542280</c:v>
                </c:pt>
                <c:pt idx="187">
                  <c:v>966542280</c:v>
                </c:pt>
                <c:pt idx="188">
                  <c:v>966542280</c:v>
                </c:pt>
                <c:pt idx="189">
                  <c:v>966542280</c:v>
                </c:pt>
                <c:pt idx="190">
                  <c:v>966542280</c:v>
                </c:pt>
                <c:pt idx="191">
                  <c:v>966542280</c:v>
                </c:pt>
                <c:pt idx="192">
                  <c:v>966542280</c:v>
                </c:pt>
                <c:pt idx="193">
                  <c:v>966542280</c:v>
                </c:pt>
                <c:pt idx="194">
                  <c:v>966542280</c:v>
                </c:pt>
                <c:pt idx="195">
                  <c:v>966542280</c:v>
                </c:pt>
                <c:pt idx="196">
                  <c:v>966542280</c:v>
                </c:pt>
                <c:pt idx="197">
                  <c:v>966542280</c:v>
                </c:pt>
                <c:pt idx="198">
                  <c:v>966542280</c:v>
                </c:pt>
                <c:pt idx="199">
                  <c:v>966542280</c:v>
                </c:pt>
                <c:pt idx="200">
                  <c:v>966542280</c:v>
                </c:pt>
                <c:pt idx="201">
                  <c:v>966542280</c:v>
                </c:pt>
                <c:pt idx="202">
                  <c:v>966542280</c:v>
                </c:pt>
                <c:pt idx="203">
                  <c:v>966542280</c:v>
                </c:pt>
                <c:pt idx="204">
                  <c:v>966542280</c:v>
                </c:pt>
                <c:pt idx="205">
                  <c:v>966542280</c:v>
                </c:pt>
                <c:pt idx="206">
                  <c:v>966542280</c:v>
                </c:pt>
                <c:pt idx="207">
                  <c:v>966542280</c:v>
                </c:pt>
                <c:pt idx="208">
                  <c:v>966542280</c:v>
                </c:pt>
                <c:pt idx="209">
                  <c:v>966542280</c:v>
                </c:pt>
                <c:pt idx="210">
                  <c:v>966542280</c:v>
                </c:pt>
                <c:pt idx="211">
                  <c:v>966542280</c:v>
                </c:pt>
                <c:pt idx="212">
                  <c:v>966542280</c:v>
                </c:pt>
                <c:pt idx="213">
                  <c:v>966542280</c:v>
                </c:pt>
                <c:pt idx="214">
                  <c:v>966542280</c:v>
                </c:pt>
                <c:pt idx="215">
                  <c:v>966542280</c:v>
                </c:pt>
                <c:pt idx="216">
                  <c:v>966542280</c:v>
                </c:pt>
                <c:pt idx="217">
                  <c:v>966542280</c:v>
                </c:pt>
                <c:pt idx="218">
                  <c:v>966542280</c:v>
                </c:pt>
                <c:pt idx="219">
                  <c:v>966542280</c:v>
                </c:pt>
                <c:pt idx="220">
                  <c:v>966542280</c:v>
                </c:pt>
                <c:pt idx="221">
                  <c:v>966542280</c:v>
                </c:pt>
                <c:pt idx="222">
                  <c:v>966542280</c:v>
                </c:pt>
                <c:pt idx="223">
                  <c:v>966542280</c:v>
                </c:pt>
                <c:pt idx="224">
                  <c:v>966542280</c:v>
                </c:pt>
                <c:pt idx="225">
                  <c:v>966542280</c:v>
                </c:pt>
                <c:pt idx="226">
                  <c:v>966542280</c:v>
                </c:pt>
                <c:pt idx="227">
                  <c:v>966542280</c:v>
                </c:pt>
                <c:pt idx="228">
                  <c:v>966542280</c:v>
                </c:pt>
                <c:pt idx="229">
                  <c:v>966542280</c:v>
                </c:pt>
                <c:pt idx="230">
                  <c:v>966542280</c:v>
                </c:pt>
                <c:pt idx="231">
                  <c:v>966542280</c:v>
                </c:pt>
                <c:pt idx="232">
                  <c:v>966542280</c:v>
                </c:pt>
                <c:pt idx="233">
                  <c:v>966542280</c:v>
                </c:pt>
                <c:pt idx="234">
                  <c:v>966542280</c:v>
                </c:pt>
                <c:pt idx="235">
                  <c:v>966542280</c:v>
                </c:pt>
                <c:pt idx="236">
                  <c:v>966542280</c:v>
                </c:pt>
                <c:pt idx="237">
                  <c:v>966542280</c:v>
                </c:pt>
                <c:pt idx="238">
                  <c:v>966542280</c:v>
                </c:pt>
                <c:pt idx="239">
                  <c:v>966542280</c:v>
                </c:pt>
                <c:pt idx="240">
                  <c:v>968086132</c:v>
                </c:pt>
                <c:pt idx="241">
                  <c:v>968086132</c:v>
                </c:pt>
                <c:pt idx="242">
                  <c:v>968086132</c:v>
                </c:pt>
                <c:pt idx="243">
                  <c:v>968086132</c:v>
                </c:pt>
                <c:pt idx="244">
                  <c:v>968086132</c:v>
                </c:pt>
                <c:pt idx="245">
                  <c:v>968086132</c:v>
                </c:pt>
                <c:pt idx="246">
                  <c:v>968086132</c:v>
                </c:pt>
                <c:pt idx="247">
                  <c:v>968086132</c:v>
                </c:pt>
                <c:pt idx="248">
                  <c:v>968086132</c:v>
                </c:pt>
                <c:pt idx="249">
                  <c:v>968086132</c:v>
                </c:pt>
                <c:pt idx="250">
                  <c:v>968086132</c:v>
                </c:pt>
                <c:pt idx="251">
                  <c:v>968086132</c:v>
                </c:pt>
                <c:pt idx="252">
                  <c:v>968086132</c:v>
                </c:pt>
                <c:pt idx="253">
                  <c:v>968086132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D-4ECD-A9B1-7F92C429E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86368480"/>
        <c:axId val="1386370880"/>
      </c:barChart>
      <c:lineChart>
        <c:grouping val="standard"/>
        <c:varyColors val="0"/>
        <c:ser>
          <c:idx val="0"/>
          <c:order val="0"/>
          <c:tx>
            <c:strRef>
              <c:f>'Capital vs Issued shares'!$B$1</c:f>
              <c:strCache>
                <c:ptCount val="1"/>
                <c:pt idx="0">
                  <c:v>Market Capitalisation($m)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'Capital vs Issued shares'!$A$2:$A$255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'Capital vs Issued shares'!$B$2:$B$255</c:f>
              <c:numCache>
                <c:formatCode>"$"#,##0.00</c:formatCode>
                <c:ptCount val="254"/>
                <c:pt idx="0">
                  <c:v>7726.23</c:v>
                </c:pt>
                <c:pt idx="1">
                  <c:v>7742.88</c:v>
                </c:pt>
                <c:pt idx="2">
                  <c:v>8067.58</c:v>
                </c:pt>
                <c:pt idx="3">
                  <c:v>7776.18</c:v>
                </c:pt>
                <c:pt idx="4">
                  <c:v>7934.37</c:v>
                </c:pt>
                <c:pt idx="5">
                  <c:v>7917.72</c:v>
                </c:pt>
                <c:pt idx="6">
                  <c:v>7884.42</c:v>
                </c:pt>
                <c:pt idx="7">
                  <c:v>7926.04</c:v>
                </c:pt>
                <c:pt idx="8">
                  <c:v>7951.02</c:v>
                </c:pt>
                <c:pt idx="9">
                  <c:v>7867.76</c:v>
                </c:pt>
                <c:pt idx="10">
                  <c:v>7892.74</c:v>
                </c:pt>
                <c:pt idx="11">
                  <c:v>7792.83</c:v>
                </c:pt>
                <c:pt idx="12">
                  <c:v>7959.35</c:v>
                </c:pt>
                <c:pt idx="13">
                  <c:v>7826.14</c:v>
                </c:pt>
                <c:pt idx="14">
                  <c:v>7934.37</c:v>
                </c:pt>
                <c:pt idx="15">
                  <c:v>8034.28</c:v>
                </c:pt>
                <c:pt idx="16">
                  <c:v>7992.65</c:v>
                </c:pt>
                <c:pt idx="17">
                  <c:v>8025.95</c:v>
                </c:pt>
                <c:pt idx="18">
                  <c:v>8400.61</c:v>
                </c:pt>
                <c:pt idx="19">
                  <c:v>8300.7000000000007</c:v>
                </c:pt>
                <c:pt idx="20">
                  <c:v>8225.77</c:v>
                </c:pt>
                <c:pt idx="21">
                  <c:v>8284.0499999999993</c:v>
                </c:pt>
                <c:pt idx="22">
                  <c:v>8217.44</c:v>
                </c:pt>
                <c:pt idx="23">
                  <c:v>8259.07</c:v>
                </c:pt>
                <c:pt idx="24">
                  <c:v>8259.07</c:v>
                </c:pt>
                <c:pt idx="25">
                  <c:v>8267.4</c:v>
                </c:pt>
                <c:pt idx="26">
                  <c:v>8167.49</c:v>
                </c:pt>
                <c:pt idx="27">
                  <c:v>8417.26</c:v>
                </c:pt>
                <c:pt idx="28">
                  <c:v>8217.44</c:v>
                </c:pt>
                <c:pt idx="29">
                  <c:v>8142.51</c:v>
                </c:pt>
                <c:pt idx="30">
                  <c:v>8017.63</c:v>
                </c:pt>
                <c:pt idx="31">
                  <c:v>8017.63</c:v>
                </c:pt>
                <c:pt idx="32">
                  <c:v>8159.16</c:v>
                </c:pt>
                <c:pt idx="33">
                  <c:v>7951.02</c:v>
                </c:pt>
                <c:pt idx="34">
                  <c:v>8092.56</c:v>
                </c:pt>
                <c:pt idx="35">
                  <c:v>7909.39</c:v>
                </c:pt>
                <c:pt idx="36">
                  <c:v>8209.1200000000008</c:v>
                </c:pt>
                <c:pt idx="37">
                  <c:v>8050.93</c:v>
                </c:pt>
                <c:pt idx="38">
                  <c:v>8017.63</c:v>
                </c:pt>
                <c:pt idx="39">
                  <c:v>7926.04</c:v>
                </c:pt>
                <c:pt idx="40">
                  <c:v>8042.6</c:v>
                </c:pt>
                <c:pt idx="41">
                  <c:v>8092.56</c:v>
                </c:pt>
                <c:pt idx="42">
                  <c:v>8009.3</c:v>
                </c:pt>
                <c:pt idx="43">
                  <c:v>8084.23</c:v>
                </c:pt>
                <c:pt idx="44">
                  <c:v>7976</c:v>
                </c:pt>
                <c:pt idx="45">
                  <c:v>8242.42</c:v>
                </c:pt>
                <c:pt idx="46">
                  <c:v>8167.49</c:v>
                </c:pt>
                <c:pt idx="47">
                  <c:v>8259.07</c:v>
                </c:pt>
                <c:pt idx="48">
                  <c:v>8292.3700000000008</c:v>
                </c:pt>
                <c:pt idx="49">
                  <c:v>8117.53</c:v>
                </c:pt>
                <c:pt idx="50">
                  <c:v>8300.7000000000007</c:v>
                </c:pt>
                <c:pt idx="51">
                  <c:v>8292.3700000000008</c:v>
                </c:pt>
                <c:pt idx="52">
                  <c:v>8084.23</c:v>
                </c:pt>
                <c:pt idx="53">
                  <c:v>8167.49</c:v>
                </c:pt>
                <c:pt idx="54">
                  <c:v>8117.53</c:v>
                </c:pt>
                <c:pt idx="55">
                  <c:v>8225.77</c:v>
                </c:pt>
                <c:pt idx="56">
                  <c:v>8134.19</c:v>
                </c:pt>
                <c:pt idx="57">
                  <c:v>8192.4699999999993</c:v>
                </c:pt>
                <c:pt idx="58">
                  <c:v>8200.7900000000009</c:v>
                </c:pt>
                <c:pt idx="59">
                  <c:v>8334</c:v>
                </c:pt>
                <c:pt idx="60">
                  <c:v>8217.44</c:v>
                </c:pt>
                <c:pt idx="61">
                  <c:v>8259.07</c:v>
                </c:pt>
                <c:pt idx="62">
                  <c:v>8300.7000000000007</c:v>
                </c:pt>
                <c:pt idx="63">
                  <c:v>8300.7000000000007</c:v>
                </c:pt>
                <c:pt idx="64">
                  <c:v>8358.98</c:v>
                </c:pt>
                <c:pt idx="65">
                  <c:v>8309.02</c:v>
                </c:pt>
                <c:pt idx="66">
                  <c:v>8367.2999999999993</c:v>
                </c:pt>
                <c:pt idx="67">
                  <c:v>8300.7000000000007</c:v>
                </c:pt>
                <c:pt idx="68">
                  <c:v>8367.2999999999993</c:v>
                </c:pt>
                <c:pt idx="69">
                  <c:v>8492.19</c:v>
                </c:pt>
                <c:pt idx="70">
                  <c:v>8433.91</c:v>
                </c:pt>
                <c:pt idx="71">
                  <c:v>8309.02</c:v>
                </c:pt>
                <c:pt idx="72">
                  <c:v>8325.68</c:v>
                </c:pt>
                <c:pt idx="73">
                  <c:v>8458.89</c:v>
                </c:pt>
                <c:pt idx="74">
                  <c:v>8259.07</c:v>
                </c:pt>
                <c:pt idx="75">
                  <c:v>8317.35</c:v>
                </c:pt>
                <c:pt idx="76">
                  <c:v>8284.0499999999993</c:v>
                </c:pt>
                <c:pt idx="77">
                  <c:v>8267.4</c:v>
                </c:pt>
                <c:pt idx="78">
                  <c:v>8350.65</c:v>
                </c:pt>
                <c:pt idx="79">
                  <c:v>8259.07</c:v>
                </c:pt>
                <c:pt idx="80">
                  <c:v>8284.0499999999993</c:v>
                </c:pt>
                <c:pt idx="81">
                  <c:v>8325.68</c:v>
                </c:pt>
                <c:pt idx="82">
                  <c:v>8300.7000000000007</c:v>
                </c:pt>
                <c:pt idx="83">
                  <c:v>8342.33</c:v>
                </c:pt>
                <c:pt idx="84">
                  <c:v>8284.0499999999993</c:v>
                </c:pt>
                <c:pt idx="85">
                  <c:v>8059.25</c:v>
                </c:pt>
                <c:pt idx="86">
                  <c:v>8100.88</c:v>
                </c:pt>
                <c:pt idx="87">
                  <c:v>8234.09</c:v>
                </c:pt>
                <c:pt idx="88">
                  <c:v>8142.51</c:v>
                </c:pt>
                <c:pt idx="89">
                  <c:v>8084.23</c:v>
                </c:pt>
                <c:pt idx="90">
                  <c:v>8017.63</c:v>
                </c:pt>
                <c:pt idx="91">
                  <c:v>7892.74</c:v>
                </c:pt>
                <c:pt idx="92">
                  <c:v>7951.02</c:v>
                </c:pt>
                <c:pt idx="93">
                  <c:v>8192.4699999999993</c:v>
                </c:pt>
                <c:pt idx="94">
                  <c:v>8275.7199999999993</c:v>
                </c:pt>
                <c:pt idx="95">
                  <c:v>8617.07</c:v>
                </c:pt>
                <c:pt idx="96">
                  <c:v>8117.53</c:v>
                </c:pt>
                <c:pt idx="97">
                  <c:v>8225.77</c:v>
                </c:pt>
                <c:pt idx="98">
                  <c:v>8408.93</c:v>
                </c:pt>
                <c:pt idx="99">
                  <c:v>8367.2999999999993</c:v>
                </c:pt>
                <c:pt idx="100">
                  <c:v>8375.6299999999992</c:v>
                </c:pt>
                <c:pt idx="101">
                  <c:v>8439.7199999999993</c:v>
                </c:pt>
                <c:pt idx="102">
                  <c:v>8330.8799999999992</c:v>
                </c:pt>
                <c:pt idx="103">
                  <c:v>8188.54</c:v>
                </c:pt>
                <c:pt idx="104">
                  <c:v>8247.15</c:v>
                </c:pt>
                <c:pt idx="105">
                  <c:v>8339.25</c:v>
                </c:pt>
                <c:pt idx="106">
                  <c:v>8456.4699999999993</c:v>
                </c:pt>
                <c:pt idx="107">
                  <c:v>8632.2999999999993</c:v>
                </c:pt>
                <c:pt idx="108">
                  <c:v>8883.48</c:v>
                </c:pt>
                <c:pt idx="109">
                  <c:v>8665.7900000000009</c:v>
                </c:pt>
                <c:pt idx="110">
                  <c:v>8372.74</c:v>
                </c:pt>
                <c:pt idx="111">
                  <c:v>8305.76</c:v>
                </c:pt>
                <c:pt idx="112">
                  <c:v>8272.27</c:v>
                </c:pt>
                <c:pt idx="113">
                  <c:v>8422.98</c:v>
                </c:pt>
                <c:pt idx="114">
                  <c:v>8422.98</c:v>
                </c:pt>
                <c:pt idx="115">
                  <c:v>8833.24</c:v>
                </c:pt>
                <c:pt idx="116">
                  <c:v>8582.06</c:v>
                </c:pt>
                <c:pt idx="117">
                  <c:v>9601.27</c:v>
                </c:pt>
                <c:pt idx="118">
                  <c:v>9386.0400000000009</c:v>
                </c:pt>
                <c:pt idx="119">
                  <c:v>9423.4699999999993</c:v>
                </c:pt>
                <c:pt idx="120">
                  <c:v>9460.9</c:v>
                </c:pt>
                <c:pt idx="121">
                  <c:v>9601.17</c:v>
                </c:pt>
                <c:pt idx="122">
                  <c:v>9563.59</c:v>
                </c:pt>
                <c:pt idx="123">
                  <c:v>9713.9</c:v>
                </c:pt>
                <c:pt idx="124">
                  <c:v>9563.59</c:v>
                </c:pt>
                <c:pt idx="125">
                  <c:v>9572.98</c:v>
                </c:pt>
                <c:pt idx="126">
                  <c:v>9591.77</c:v>
                </c:pt>
                <c:pt idx="127">
                  <c:v>9488.43</c:v>
                </c:pt>
                <c:pt idx="128">
                  <c:v>9497.83</c:v>
                </c:pt>
                <c:pt idx="129">
                  <c:v>9695.11</c:v>
                </c:pt>
                <c:pt idx="130">
                  <c:v>9516.6200000000008</c:v>
                </c:pt>
                <c:pt idx="131">
                  <c:v>9450.85</c:v>
                </c:pt>
                <c:pt idx="132">
                  <c:v>9469.64</c:v>
                </c:pt>
                <c:pt idx="133">
                  <c:v>9281.75</c:v>
                </c:pt>
                <c:pt idx="134">
                  <c:v>9103.26</c:v>
                </c:pt>
                <c:pt idx="135">
                  <c:v>9240.14</c:v>
                </c:pt>
                <c:pt idx="136">
                  <c:v>9404.4599999999991</c:v>
                </c:pt>
                <c:pt idx="137">
                  <c:v>9530.11</c:v>
                </c:pt>
                <c:pt idx="138">
                  <c:v>9414.1200000000008</c:v>
                </c:pt>
                <c:pt idx="139">
                  <c:v>9375.4599999999991</c:v>
                </c:pt>
                <c:pt idx="140">
                  <c:v>9481.7800000000007</c:v>
                </c:pt>
                <c:pt idx="141">
                  <c:v>9665.42</c:v>
                </c:pt>
                <c:pt idx="142">
                  <c:v>9520.44</c:v>
                </c:pt>
                <c:pt idx="143">
                  <c:v>9394.7900000000009</c:v>
                </c:pt>
                <c:pt idx="144">
                  <c:v>9433.4500000000007</c:v>
                </c:pt>
                <c:pt idx="145">
                  <c:v>9433.4500000000007</c:v>
                </c:pt>
                <c:pt idx="146">
                  <c:v>9491.4500000000007</c:v>
                </c:pt>
                <c:pt idx="147">
                  <c:v>9520.44</c:v>
                </c:pt>
                <c:pt idx="148">
                  <c:v>9568.77</c:v>
                </c:pt>
                <c:pt idx="149">
                  <c:v>9220.81</c:v>
                </c:pt>
                <c:pt idx="150">
                  <c:v>9230.48</c:v>
                </c:pt>
                <c:pt idx="151">
                  <c:v>9394.7900000000009</c:v>
                </c:pt>
                <c:pt idx="152">
                  <c:v>9394.7900000000009</c:v>
                </c:pt>
                <c:pt idx="153">
                  <c:v>9443.1200000000008</c:v>
                </c:pt>
                <c:pt idx="154">
                  <c:v>9327.1299999999992</c:v>
                </c:pt>
                <c:pt idx="155">
                  <c:v>9356.1299999999992</c:v>
                </c:pt>
                <c:pt idx="156">
                  <c:v>9269.14</c:v>
                </c:pt>
                <c:pt idx="157">
                  <c:v>9481.7800000000007</c:v>
                </c:pt>
                <c:pt idx="158">
                  <c:v>9588.1</c:v>
                </c:pt>
                <c:pt idx="159">
                  <c:v>9665.42</c:v>
                </c:pt>
                <c:pt idx="160">
                  <c:v>9684.75</c:v>
                </c:pt>
                <c:pt idx="161">
                  <c:v>9733.08</c:v>
                </c:pt>
                <c:pt idx="162">
                  <c:v>9626.76</c:v>
                </c:pt>
                <c:pt idx="163">
                  <c:v>9800.74</c:v>
                </c:pt>
                <c:pt idx="164">
                  <c:v>9694.42</c:v>
                </c:pt>
                <c:pt idx="165">
                  <c:v>9684.75</c:v>
                </c:pt>
                <c:pt idx="166">
                  <c:v>9733.08</c:v>
                </c:pt>
                <c:pt idx="167">
                  <c:v>9675.09</c:v>
                </c:pt>
                <c:pt idx="168">
                  <c:v>9800.74</c:v>
                </c:pt>
                <c:pt idx="169">
                  <c:v>9936.0499999999993</c:v>
                </c:pt>
                <c:pt idx="170">
                  <c:v>9926.39</c:v>
                </c:pt>
                <c:pt idx="171">
                  <c:v>10148.69</c:v>
                </c:pt>
                <c:pt idx="172">
                  <c:v>10535.31</c:v>
                </c:pt>
                <c:pt idx="173">
                  <c:v>10709.29</c:v>
                </c:pt>
                <c:pt idx="174">
                  <c:v>10728.62</c:v>
                </c:pt>
                <c:pt idx="175">
                  <c:v>10709.29</c:v>
                </c:pt>
                <c:pt idx="176">
                  <c:v>10883.27</c:v>
                </c:pt>
                <c:pt idx="177">
                  <c:v>11018.58</c:v>
                </c:pt>
                <c:pt idx="178">
                  <c:v>10883.27</c:v>
                </c:pt>
                <c:pt idx="179">
                  <c:v>10738.28</c:v>
                </c:pt>
                <c:pt idx="180">
                  <c:v>10863.94</c:v>
                </c:pt>
                <c:pt idx="181">
                  <c:v>10776.95</c:v>
                </c:pt>
                <c:pt idx="182">
                  <c:v>11008.92</c:v>
                </c:pt>
                <c:pt idx="183">
                  <c:v>10892.93</c:v>
                </c:pt>
                <c:pt idx="184">
                  <c:v>10950.92</c:v>
                </c:pt>
                <c:pt idx="185">
                  <c:v>10796.28</c:v>
                </c:pt>
                <c:pt idx="186">
                  <c:v>10767.28</c:v>
                </c:pt>
                <c:pt idx="187">
                  <c:v>10931.59</c:v>
                </c:pt>
                <c:pt idx="188">
                  <c:v>11037.91</c:v>
                </c:pt>
                <c:pt idx="189">
                  <c:v>11028.25</c:v>
                </c:pt>
                <c:pt idx="190">
                  <c:v>10796.28</c:v>
                </c:pt>
                <c:pt idx="191">
                  <c:v>10805.94</c:v>
                </c:pt>
                <c:pt idx="192">
                  <c:v>10709.29</c:v>
                </c:pt>
                <c:pt idx="193">
                  <c:v>10709.29</c:v>
                </c:pt>
                <c:pt idx="194">
                  <c:v>10786.61</c:v>
                </c:pt>
                <c:pt idx="195">
                  <c:v>10670.63</c:v>
                </c:pt>
                <c:pt idx="196">
                  <c:v>10796.28</c:v>
                </c:pt>
                <c:pt idx="197">
                  <c:v>10535.31</c:v>
                </c:pt>
                <c:pt idx="198">
                  <c:v>10786.61</c:v>
                </c:pt>
                <c:pt idx="199">
                  <c:v>10689.96</c:v>
                </c:pt>
                <c:pt idx="200">
                  <c:v>10747.95</c:v>
                </c:pt>
                <c:pt idx="201">
                  <c:v>10525.65</c:v>
                </c:pt>
                <c:pt idx="202">
                  <c:v>10699.62</c:v>
                </c:pt>
                <c:pt idx="203">
                  <c:v>10747.95</c:v>
                </c:pt>
                <c:pt idx="204">
                  <c:v>10892.93</c:v>
                </c:pt>
                <c:pt idx="205">
                  <c:v>11076.57</c:v>
                </c:pt>
                <c:pt idx="206">
                  <c:v>11231.22</c:v>
                </c:pt>
                <c:pt idx="207">
                  <c:v>11385.87</c:v>
                </c:pt>
                <c:pt idx="208">
                  <c:v>11269.88</c:v>
                </c:pt>
                <c:pt idx="209">
                  <c:v>11550.18</c:v>
                </c:pt>
                <c:pt idx="210">
                  <c:v>11569.51</c:v>
                </c:pt>
                <c:pt idx="211">
                  <c:v>11279.55</c:v>
                </c:pt>
                <c:pt idx="212">
                  <c:v>11115.24</c:v>
                </c:pt>
                <c:pt idx="213">
                  <c:v>11221.56</c:v>
                </c:pt>
                <c:pt idx="214">
                  <c:v>11192.56</c:v>
                </c:pt>
                <c:pt idx="215">
                  <c:v>11076.57</c:v>
                </c:pt>
                <c:pt idx="216">
                  <c:v>11269.88</c:v>
                </c:pt>
                <c:pt idx="217">
                  <c:v>11018.58</c:v>
                </c:pt>
                <c:pt idx="218">
                  <c:v>10921.93</c:v>
                </c:pt>
                <c:pt idx="219">
                  <c:v>10670.63</c:v>
                </c:pt>
                <c:pt idx="220">
                  <c:v>10757.62</c:v>
                </c:pt>
                <c:pt idx="221">
                  <c:v>10892.93</c:v>
                </c:pt>
                <c:pt idx="222">
                  <c:v>10912.26</c:v>
                </c:pt>
                <c:pt idx="223">
                  <c:v>11028.25</c:v>
                </c:pt>
                <c:pt idx="224">
                  <c:v>10873.6</c:v>
                </c:pt>
                <c:pt idx="225">
                  <c:v>10641.63</c:v>
                </c:pt>
                <c:pt idx="226">
                  <c:v>10709.29</c:v>
                </c:pt>
                <c:pt idx="227">
                  <c:v>10815.61</c:v>
                </c:pt>
                <c:pt idx="228">
                  <c:v>10825.27</c:v>
                </c:pt>
                <c:pt idx="229">
                  <c:v>11037.91</c:v>
                </c:pt>
                <c:pt idx="230">
                  <c:v>11018.58</c:v>
                </c:pt>
                <c:pt idx="231">
                  <c:v>11211.89</c:v>
                </c:pt>
                <c:pt idx="232">
                  <c:v>11182.89</c:v>
                </c:pt>
                <c:pt idx="233">
                  <c:v>11240.89</c:v>
                </c:pt>
                <c:pt idx="234">
                  <c:v>11221.56</c:v>
                </c:pt>
                <c:pt idx="235">
                  <c:v>10960.59</c:v>
                </c:pt>
                <c:pt idx="236">
                  <c:v>10979.92</c:v>
                </c:pt>
                <c:pt idx="237">
                  <c:v>11192.56</c:v>
                </c:pt>
                <c:pt idx="238">
                  <c:v>10979.92</c:v>
                </c:pt>
                <c:pt idx="239">
                  <c:v>11057.24</c:v>
                </c:pt>
                <c:pt idx="240">
                  <c:v>10736.08</c:v>
                </c:pt>
                <c:pt idx="241">
                  <c:v>10581.18</c:v>
                </c:pt>
                <c:pt idx="242">
                  <c:v>10523.1</c:v>
                </c:pt>
                <c:pt idx="243">
                  <c:v>10619.9</c:v>
                </c:pt>
                <c:pt idx="244">
                  <c:v>10629.59</c:v>
                </c:pt>
                <c:pt idx="245">
                  <c:v>10939.37</c:v>
                </c:pt>
                <c:pt idx="246">
                  <c:v>10900.65</c:v>
                </c:pt>
                <c:pt idx="247">
                  <c:v>10610.22</c:v>
                </c:pt>
                <c:pt idx="248">
                  <c:v>10987.78</c:v>
                </c:pt>
                <c:pt idx="249">
                  <c:v>11026.5</c:v>
                </c:pt>
                <c:pt idx="250">
                  <c:v>11191.08</c:v>
                </c:pt>
                <c:pt idx="251">
                  <c:v>11181.39</c:v>
                </c:pt>
                <c:pt idx="252">
                  <c:v>11200.76</c:v>
                </c:pt>
                <c:pt idx="253">
                  <c:v>11200.76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D-4ECD-A9B1-7F92C429E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166415"/>
        <c:axId val="1772166895"/>
      </c:lineChart>
      <c:dateAx>
        <c:axId val="1772166415"/>
        <c:scaling>
          <c:orientation val="minMax"/>
        </c:scaling>
        <c:delete val="0"/>
        <c:axPos val="b"/>
        <c:numFmt formatCode="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166895"/>
        <c:crosses val="autoZero"/>
        <c:auto val="1"/>
        <c:lblOffset val="100"/>
        <c:baseTimeUnit val="days"/>
        <c:majorUnit val="15"/>
        <c:majorTimeUnit val="days"/>
        <c:minorUnit val="10"/>
        <c:minorTimeUnit val="days"/>
      </c:dateAx>
      <c:valAx>
        <c:axId val="177216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166415"/>
        <c:crosses val="autoZero"/>
        <c:crossBetween val="between"/>
      </c:valAx>
      <c:valAx>
        <c:axId val="1386370880"/>
        <c:scaling>
          <c:orientation val="minMax"/>
        </c:scaling>
        <c:delete val="0"/>
        <c:axPos val="r"/>
        <c:numFmt formatCode="#,##0.00##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368480"/>
        <c:crosses val="max"/>
        <c:crossBetween val="between"/>
      </c:valAx>
      <c:dateAx>
        <c:axId val="1386368480"/>
        <c:scaling>
          <c:orientation val="minMax"/>
        </c:scaling>
        <c:delete val="1"/>
        <c:axPos val="b"/>
        <c:numFmt formatCode="d/mm/yyyy;@" sourceLinked="1"/>
        <c:majorTickMark val="out"/>
        <c:minorTickMark val="none"/>
        <c:tickLblPos val="nextTo"/>
        <c:crossAx val="138637088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'Dividend Yield'!$B$1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2.3859763796938969E-2"/>
                  <c:y val="0.117047264817792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E4-482F-B6F1-6AF147F216B0}"/>
                </c:ext>
              </c:extLst>
            </c:dLbl>
            <c:dLbl>
              <c:idx val="210"/>
              <c:layout>
                <c:manualLayout>
                  <c:x val="2.5869578846425007E-2"/>
                  <c:y val="-3.15773429829052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E4-482F-B6F1-6AF147F216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'Dividend Yield'!$A$2:$A$255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'Dividend Yield'!$B$2:$B$255</c:f>
              <c:numCache>
                <c:formatCode>"$"#,##0.00</c:formatCode>
                <c:ptCount val="254"/>
                <c:pt idx="0">
                  <c:v>9.2799999999999994</c:v>
                </c:pt>
                <c:pt idx="1">
                  <c:v>9.3000000000000007</c:v>
                </c:pt>
                <c:pt idx="2">
                  <c:v>9.69</c:v>
                </c:pt>
                <c:pt idx="3">
                  <c:v>9.34</c:v>
                </c:pt>
                <c:pt idx="4">
                  <c:v>9.5299999999999994</c:v>
                </c:pt>
                <c:pt idx="5">
                  <c:v>9.51</c:v>
                </c:pt>
                <c:pt idx="6">
                  <c:v>9.4700000000000006</c:v>
                </c:pt>
                <c:pt idx="7">
                  <c:v>9.52</c:v>
                </c:pt>
                <c:pt idx="8">
                  <c:v>9.5500000000000007</c:v>
                </c:pt>
                <c:pt idx="9">
                  <c:v>9.4499999999999993</c:v>
                </c:pt>
                <c:pt idx="10">
                  <c:v>9.48</c:v>
                </c:pt>
                <c:pt idx="11">
                  <c:v>9.36</c:v>
                </c:pt>
                <c:pt idx="12">
                  <c:v>9.56</c:v>
                </c:pt>
                <c:pt idx="13">
                  <c:v>9.4</c:v>
                </c:pt>
                <c:pt idx="14">
                  <c:v>9.5299999999999994</c:v>
                </c:pt>
                <c:pt idx="15">
                  <c:v>9.65</c:v>
                </c:pt>
                <c:pt idx="16">
                  <c:v>9.6</c:v>
                </c:pt>
                <c:pt idx="17">
                  <c:v>9.64</c:v>
                </c:pt>
                <c:pt idx="18">
                  <c:v>10.09</c:v>
                </c:pt>
                <c:pt idx="19">
                  <c:v>9.9700000000000006</c:v>
                </c:pt>
                <c:pt idx="20">
                  <c:v>9.8800000000000008</c:v>
                </c:pt>
                <c:pt idx="21">
                  <c:v>9.9499999999999993</c:v>
                </c:pt>
                <c:pt idx="22">
                  <c:v>9.8699999999999992</c:v>
                </c:pt>
                <c:pt idx="23">
                  <c:v>9.92</c:v>
                </c:pt>
                <c:pt idx="24">
                  <c:v>9.92</c:v>
                </c:pt>
                <c:pt idx="25">
                  <c:v>9.93</c:v>
                </c:pt>
                <c:pt idx="26">
                  <c:v>9.81</c:v>
                </c:pt>
                <c:pt idx="27">
                  <c:v>10.11</c:v>
                </c:pt>
                <c:pt idx="28">
                  <c:v>9.8699999999999992</c:v>
                </c:pt>
                <c:pt idx="29">
                  <c:v>9.7799999999999994</c:v>
                </c:pt>
                <c:pt idx="30">
                  <c:v>9.6300000000000008</c:v>
                </c:pt>
                <c:pt idx="31">
                  <c:v>9.6300000000000008</c:v>
                </c:pt>
                <c:pt idx="32">
                  <c:v>9.8000000000000007</c:v>
                </c:pt>
                <c:pt idx="33">
                  <c:v>9.5500000000000007</c:v>
                </c:pt>
                <c:pt idx="34">
                  <c:v>9.7200000000000006</c:v>
                </c:pt>
                <c:pt idx="35">
                  <c:v>9.5</c:v>
                </c:pt>
                <c:pt idx="36">
                  <c:v>9.86</c:v>
                </c:pt>
                <c:pt idx="37">
                  <c:v>9.67</c:v>
                </c:pt>
                <c:pt idx="38">
                  <c:v>9.6300000000000008</c:v>
                </c:pt>
                <c:pt idx="39">
                  <c:v>9.52</c:v>
                </c:pt>
                <c:pt idx="40">
                  <c:v>9.66</c:v>
                </c:pt>
                <c:pt idx="41">
                  <c:v>9.7200000000000006</c:v>
                </c:pt>
                <c:pt idx="42">
                  <c:v>9.6199999999999992</c:v>
                </c:pt>
                <c:pt idx="43">
                  <c:v>9.7100000000000009</c:v>
                </c:pt>
                <c:pt idx="44">
                  <c:v>9.58</c:v>
                </c:pt>
                <c:pt idx="45">
                  <c:v>9.9</c:v>
                </c:pt>
                <c:pt idx="46">
                  <c:v>9.81</c:v>
                </c:pt>
                <c:pt idx="47">
                  <c:v>9.92</c:v>
                </c:pt>
                <c:pt idx="48">
                  <c:v>9.9600000000000009</c:v>
                </c:pt>
                <c:pt idx="49">
                  <c:v>9.75</c:v>
                </c:pt>
                <c:pt idx="50">
                  <c:v>9.9700000000000006</c:v>
                </c:pt>
                <c:pt idx="51">
                  <c:v>9.9600000000000009</c:v>
                </c:pt>
                <c:pt idx="52">
                  <c:v>9.7100000000000009</c:v>
                </c:pt>
                <c:pt idx="53">
                  <c:v>9.81</c:v>
                </c:pt>
                <c:pt idx="54">
                  <c:v>9.75</c:v>
                </c:pt>
                <c:pt idx="55">
                  <c:v>9.8800000000000008</c:v>
                </c:pt>
                <c:pt idx="56">
                  <c:v>9.77</c:v>
                </c:pt>
                <c:pt idx="57">
                  <c:v>9.84</c:v>
                </c:pt>
                <c:pt idx="58">
                  <c:v>9.85</c:v>
                </c:pt>
                <c:pt idx="59">
                  <c:v>10.01</c:v>
                </c:pt>
                <c:pt idx="60">
                  <c:v>9.8699999999999992</c:v>
                </c:pt>
                <c:pt idx="61">
                  <c:v>9.92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10.039999999999999</c:v>
                </c:pt>
                <c:pt idx="65">
                  <c:v>9.98</c:v>
                </c:pt>
                <c:pt idx="66">
                  <c:v>10.050000000000001</c:v>
                </c:pt>
                <c:pt idx="67">
                  <c:v>9.9700000000000006</c:v>
                </c:pt>
                <c:pt idx="68">
                  <c:v>10.050000000000001</c:v>
                </c:pt>
                <c:pt idx="69">
                  <c:v>10.199999999999999</c:v>
                </c:pt>
                <c:pt idx="70">
                  <c:v>10.130000000000001</c:v>
                </c:pt>
                <c:pt idx="71">
                  <c:v>9.98</c:v>
                </c:pt>
                <c:pt idx="72">
                  <c:v>10</c:v>
                </c:pt>
                <c:pt idx="73">
                  <c:v>10.16</c:v>
                </c:pt>
                <c:pt idx="74">
                  <c:v>9.92</c:v>
                </c:pt>
                <c:pt idx="75">
                  <c:v>9.99</c:v>
                </c:pt>
                <c:pt idx="76">
                  <c:v>9.9499999999999993</c:v>
                </c:pt>
                <c:pt idx="77">
                  <c:v>9.93</c:v>
                </c:pt>
                <c:pt idx="78">
                  <c:v>10.029999999999999</c:v>
                </c:pt>
                <c:pt idx="79">
                  <c:v>9.92</c:v>
                </c:pt>
                <c:pt idx="80">
                  <c:v>9.9499999999999993</c:v>
                </c:pt>
                <c:pt idx="81">
                  <c:v>10</c:v>
                </c:pt>
                <c:pt idx="82">
                  <c:v>9.9700000000000006</c:v>
                </c:pt>
                <c:pt idx="83">
                  <c:v>10.02</c:v>
                </c:pt>
                <c:pt idx="84">
                  <c:v>9.9499999999999993</c:v>
                </c:pt>
                <c:pt idx="85">
                  <c:v>9.68</c:v>
                </c:pt>
                <c:pt idx="86">
                  <c:v>9.73</c:v>
                </c:pt>
                <c:pt idx="87">
                  <c:v>9.89</c:v>
                </c:pt>
                <c:pt idx="88">
                  <c:v>9.7799999999999994</c:v>
                </c:pt>
                <c:pt idx="89">
                  <c:v>9.7100000000000009</c:v>
                </c:pt>
                <c:pt idx="90">
                  <c:v>9.6300000000000008</c:v>
                </c:pt>
                <c:pt idx="91">
                  <c:v>9.48</c:v>
                </c:pt>
                <c:pt idx="92">
                  <c:v>9.5500000000000007</c:v>
                </c:pt>
                <c:pt idx="93">
                  <c:v>9.84</c:v>
                </c:pt>
                <c:pt idx="94">
                  <c:v>9.94</c:v>
                </c:pt>
                <c:pt idx="95">
                  <c:v>10.35</c:v>
                </c:pt>
                <c:pt idx="96">
                  <c:v>9.75</c:v>
                </c:pt>
                <c:pt idx="97">
                  <c:v>9.8800000000000008</c:v>
                </c:pt>
                <c:pt idx="98">
                  <c:v>10.1</c:v>
                </c:pt>
                <c:pt idx="99">
                  <c:v>10.050000000000001</c:v>
                </c:pt>
                <c:pt idx="100">
                  <c:v>10.06</c:v>
                </c:pt>
                <c:pt idx="101">
                  <c:v>10.08</c:v>
                </c:pt>
                <c:pt idx="102">
                  <c:v>9.9499999999999993</c:v>
                </c:pt>
                <c:pt idx="103">
                  <c:v>9.7799999999999994</c:v>
                </c:pt>
                <c:pt idx="104">
                  <c:v>9.85</c:v>
                </c:pt>
                <c:pt idx="105">
                  <c:v>9.9600000000000009</c:v>
                </c:pt>
                <c:pt idx="106">
                  <c:v>10.1</c:v>
                </c:pt>
                <c:pt idx="107">
                  <c:v>10.31</c:v>
                </c:pt>
                <c:pt idx="108">
                  <c:v>10.61</c:v>
                </c:pt>
                <c:pt idx="109">
                  <c:v>10.35</c:v>
                </c:pt>
                <c:pt idx="110">
                  <c:v>10</c:v>
                </c:pt>
                <c:pt idx="111">
                  <c:v>9.92</c:v>
                </c:pt>
                <c:pt idx="112">
                  <c:v>9.8800000000000008</c:v>
                </c:pt>
                <c:pt idx="113">
                  <c:v>10.06</c:v>
                </c:pt>
                <c:pt idx="114">
                  <c:v>10.06</c:v>
                </c:pt>
                <c:pt idx="115">
                  <c:v>10.55</c:v>
                </c:pt>
                <c:pt idx="116">
                  <c:v>10.25</c:v>
                </c:pt>
                <c:pt idx="117">
                  <c:v>10.26</c:v>
                </c:pt>
                <c:pt idx="118">
                  <c:v>10.029999999999999</c:v>
                </c:pt>
                <c:pt idx="119">
                  <c:v>10.07</c:v>
                </c:pt>
                <c:pt idx="120">
                  <c:v>10.11</c:v>
                </c:pt>
                <c:pt idx="121">
                  <c:v>10.220000000000001</c:v>
                </c:pt>
                <c:pt idx="122">
                  <c:v>10.18</c:v>
                </c:pt>
                <c:pt idx="123">
                  <c:v>10.34</c:v>
                </c:pt>
                <c:pt idx="124">
                  <c:v>10.18</c:v>
                </c:pt>
                <c:pt idx="125">
                  <c:v>10.19</c:v>
                </c:pt>
                <c:pt idx="126">
                  <c:v>10.210000000000001</c:v>
                </c:pt>
                <c:pt idx="127">
                  <c:v>10.1</c:v>
                </c:pt>
                <c:pt idx="128">
                  <c:v>10.11</c:v>
                </c:pt>
                <c:pt idx="129">
                  <c:v>10.32</c:v>
                </c:pt>
                <c:pt idx="130">
                  <c:v>10.130000000000001</c:v>
                </c:pt>
                <c:pt idx="131">
                  <c:v>10.06</c:v>
                </c:pt>
                <c:pt idx="132">
                  <c:v>10.08</c:v>
                </c:pt>
                <c:pt idx="133">
                  <c:v>9.8800000000000008</c:v>
                </c:pt>
                <c:pt idx="134">
                  <c:v>9.69</c:v>
                </c:pt>
                <c:pt idx="135">
                  <c:v>9.56</c:v>
                </c:pt>
                <c:pt idx="136">
                  <c:v>9.73</c:v>
                </c:pt>
                <c:pt idx="137">
                  <c:v>9.86</c:v>
                </c:pt>
                <c:pt idx="138">
                  <c:v>9.74</c:v>
                </c:pt>
                <c:pt idx="139">
                  <c:v>9.6999999999999993</c:v>
                </c:pt>
                <c:pt idx="140">
                  <c:v>9.81</c:v>
                </c:pt>
                <c:pt idx="141">
                  <c:v>10</c:v>
                </c:pt>
                <c:pt idx="142">
                  <c:v>9.85</c:v>
                </c:pt>
                <c:pt idx="143">
                  <c:v>9.7200000000000006</c:v>
                </c:pt>
                <c:pt idx="144">
                  <c:v>9.76</c:v>
                </c:pt>
                <c:pt idx="145">
                  <c:v>9.76</c:v>
                </c:pt>
                <c:pt idx="146">
                  <c:v>9.82</c:v>
                </c:pt>
                <c:pt idx="147">
                  <c:v>9.85</c:v>
                </c:pt>
                <c:pt idx="148">
                  <c:v>9.9</c:v>
                </c:pt>
                <c:pt idx="149">
                  <c:v>9.5399999999999991</c:v>
                </c:pt>
                <c:pt idx="150">
                  <c:v>9.5500000000000007</c:v>
                </c:pt>
                <c:pt idx="151">
                  <c:v>9.7200000000000006</c:v>
                </c:pt>
                <c:pt idx="152">
                  <c:v>9.7200000000000006</c:v>
                </c:pt>
                <c:pt idx="153">
                  <c:v>9.77</c:v>
                </c:pt>
                <c:pt idx="154">
                  <c:v>9.65</c:v>
                </c:pt>
                <c:pt idx="155">
                  <c:v>9.68</c:v>
                </c:pt>
                <c:pt idx="156">
                  <c:v>9.59</c:v>
                </c:pt>
                <c:pt idx="157">
                  <c:v>9.81</c:v>
                </c:pt>
                <c:pt idx="158">
                  <c:v>9.92</c:v>
                </c:pt>
                <c:pt idx="159">
                  <c:v>10</c:v>
                </c:pt>
                <c:pt idx="160">
                  <c:v>10.02</c:v>
                </c:pt>
                <c:pt idx="161">
                  <c:v>10.07</c:v>
                </c:pt>
                <c:pt idx="162">
                  <c:v>9.9600000000000009</c:v>
                </c:pt>
                <c:pt idx="163">
                  <c:v>10.14</c:v>
                </c:pt>
                <c:pt idx="164">
                  <c:v>10.029999999999999</c:v>
                </c:pt>
                <c:pt idx="165">
                  <c:v>10.02</c:v>
                </c:pt>
                <c:pt idx="166">
                  <c:v>10.07</c:v>
                </c:pt>
                <c:pt idx="167">
                  <c:v>10.01</c:v>
                </c:pt>
                <c:pt idx="168">
                  <c:v>10.14</c:v>
                </c:pt>
                <c:pt idx="169">
                  <c:v>10.28</c:v>
                </c:pt>
                <c:pt idx="170">
                  <c:v>10.27</c:v>
                </c:pt>
                <c:pt idx="171">
                  <c:v>10.5</c:v>
                </c:pt>
                <c:pt idx="172">
                  <c:v>10.9</c:v>
                </c:pt>
                <c:pt idx="173">
                  <c:v>11.08</c:v>
                </c:pt>
                <c:pt idx="174">
                  <c:v>11.1</c:v>
                </c:pt>
                <c:pt idx="175">
                  <c:v>11.08</c:v>
                </c:pt>
                <c:pt idx="176">
                  <c:v>11.26</c:v>
                </c:pt>
                <c:pt idx="177">
                  <c:v>11.4</c:v>
                </c:pt>
                <c:pt idx="178">
                  <c:v>11.26</c:v>
                </c:pt>
                <c:pt idx="179">
                  <c:v>11.11</c:v>
                </c:pt>
                <c:pt idx="180">
                  <c:v>11.24</c:v>
                </c:pt>
                <c:pt idx="181">
                  <c:v>11.15</c:v>
                </c:pt>
                <c:pt idx="182">
                  <c:v>11.39</c:v>
                </c:pt>
                <c:pt idx="183">
                  <c:v>11.27</c:v>
                </c:pt>
                <c:pt idx="184">
                  <c:v>11.33</c:v>
                </c:pt>
                <c:pt idx="185">
                  <c:v>11.17</c:v>
                </c:pt>
                <c:pt idx="186">
                  <c:v>11.14</c:v>
                </c:pt>
                <c:pt idx="187">
                  <c:v>11.31</c:v>
                </c:pt>
                <c:pt idx="188">
                  <c:v>11.42</c:v>
                </c:pt>
                <c:pt idx="189">
                  <c:v>11.41</c:v>
                </c:pt>
                <c:pt idx="190">
                  <c:v>11.17</c:v>
                </c:pt>
                <c:pt idx="191">
                  <c:v>11.18</c:v>
                </c:pt>
                <c:pt idx="192">
                  <c:v>11.08</c:v>
                </c:pt>
                <c:pt idx="193">
                  <c:v>11.08</c:v>
                </c:pt>
                <c:pt idx="194">
                  <c:v>11.16</c:v>
                </c:pt>
                <c:pt idx="195">
                  <c:v>11.04</c:v>
                </c:pt>
                <c:pt idx="196">
                  <c:v>11.17</c:v>
                </c:pt>
                <c:pt idx="197">
                  <c:v>10.9</c:v>
                </c:pt>
                <c:pt idx="198">
                  <c:v>11.16</c:v>
                </c:pt>
                <c:pt idx="199">
                  <c:v>11.06</c:v>
                </c:pt>
                <c:pt idx="200">
                  <c:v>11.12</c:v>
                </c:pt>
                <c:pt idx="201">
                  <c:v>10.89</c:v>
                </c:pt>
                <c:pt idx="202">
                  <c:v>11.07</c:v>
                </c:pt>
                <c:pt idx="203">
                  <c:v>11.12</c:v>
                </c:pt>
                <c:pt idx="204">
                  <c:v>11.27</c:v>
                </c:pt>
                <c:pt idx="205">
                  <c:v>11.46</c:v>
                </c:pt>
                <c:pt idx="206">
                  <c:v>11.62</c:v>
                </c:pt>
                <c:pt idx="207">
                  <c:v>11.78</c:v>
                </c:pt>
                <c:pt idx="208">
                  <c:v>11.66</c:v>
                </c:pt>
                <c:pt idx="209">
                  <c:v>11.95</c:v>
                </c:pt>
                <c:pt idx="210">
                  <c:v>11.97</c:v>
                </c:pt>
                <c:pt idx="211">
                  <c:v>11.67</c:v>
                </c:pt>
                <c:pt idx="212">
                  <c:v>11.5</c:v>
                </c:pt>
                <c:pt idx="213">
                  <c:v>11.61</c:v>
                </c:pt>
                <c:pt idx="214">
                  <c:v>11.58</c:v>
                </c:pt>
                <c:pt idx="215">
                  <c:v>11.46</c:v>
                </c:pt>
                <c:pt idx="216">
                  <c:v>11.66</c:v>
                </c:pt>
                <c:pt idx="217">
                  <c:v>11.4</c:v>
                </c:pt>
                <c:pt idx="218">
                  <c:v>11.3</c:v>
                </c:pt>
                <c:pt idx="219">
                  <c:v>11.04</c:v>
                </c:pt>
                <c:pt idx="220">
                  <c:v>11.13</c:v>
                </c:pt>
                <c:pt idx="221">
                  <c:v>11.27</c:v>
                </c:pt>
                <c:pt idx="222">
                  <c:v>11.29</c:v>
                </c:pt>
                <c:pt idx="223">
                  <c:v>11.41</c:v>
                </c:pt>
                <c:pt idx="224">
                  <c:v>11.25</c:v>
                </c:pt>
                <c:pt idx="225">
                  <c:v>11.01</c:v>
                </c:pt>
                <c:pt idx="226">
                  <c:v>11.08</c:v>
                </c:pt>
                <c:pt idx="227">
                  <c:v>11.19</c:v>
                </c:pt>
                <c:pt idx="228">
                  <c:v>11.2</c:v>
                </c:pt>
                <c:pt idx="229">
                  <c:v>11.42</c:v>
                </c:pt>
                <c:pt idx="230">
                  <c:v>11.4</c:v>
                </c:pt>
                <c:pt idx="231">
                  <c:v>11.6</c:v>
                </c:pt>
                <c:pt idx="232">
                  <c:v>11.57</c:v>
                </c:pt>
                <c:pt idx="233">
                  <c:v>11.63</c:v>
                </c:pt>
                <c:pt idx="234">
                  <c:v>11.61</c:v>
                </c:pt>
                <c:pt idx="235">
                  <c:v>11.34</c:v>
                </c:pt>
                <c:pt idx="236">
                  <c:v>11.36</c:v>
                </c:pt>
                <c:pt idx="237">
                  <c:v>11.58</c:v>
                </c:pt>
                <c:pt idx="238">
                  <c:v>11.36</c:v>
                </c:pt>
                <c:pt idx="239">
                  <c:v>11.44</c:v>
                </c:pt>
                <c:pt idx="240">
                  <c:v>11.09</c:v>
                </c:pt>
                <c:pt idx="241">
                  <c:v>10.93</c:v>
                </c:pt>
                <c:pt idx="242">
                  <c:v>10.87</c:v>
                </c:pt>
                <c:pt idx="243">
                  <c:v>10.97</c:v>
                </c:pt>
                <c:pt idx="244">
                  <c:v>10.98</c:v>
                </c:pt>
                <c:pt idx="245">
                  <c:v>11.3</c:v>
                </c:pt>
                <c:pt idx="246">
                  <c:v>11.26</c:v>
                </c:pt>
                <c:pt idx="247">
                  <c:v>10.96</c:v>
                </c:pt>
                <c:pt idx="248">
                  <c:v>11.35</c:v>
                </c:pt>
                <c:pt idx="249">
                  <c:v>11.39</c:v>
                </c:pt>
                <c:pt idx="250">
                  <c:v>11.56</c:v>
                </c:pt>
                <c:pt idx="251">
                  <c:v>11.55</c:v>
                </c:pt>
                <c:pt idx="252">
                  <c:v>11.57</c:v>
                </c:pt>
                <c:pt idx="25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4-482F-B6F1-6AF147F21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60175"/>
        <c:axId val="572146255"/>
      </c:lineChart>
      <c:lineChart>
        <c:grouping val="standard"/>
        <c:varyColors val="0"/>
        <c:ser>
          <c:idx val="1"/>
          <c:order val="1"/>
          <c:tx>
            <c:strRef>
              <c:f>'Dividend Yield'!$C$1</c:f>
              <c:strCache>
                <c:ptCount val="1"/>
                <c:pt idx="0">
                  <c:v>Yield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5.0067331929146093E-2"/>
                  <c:y val="-7.3331765106381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E4-482F-B6F1-6AF147F216B0}"/>
                </c:ext>
              </c:extLst>
            </c:dLbl>
            <c:dLbl>
              <c:idx val="210"/>
              <c:layout>
                <c:manualLayout>
                  <c:x val="3.1148598435702543E-2"/>
                  <c:y val="2.90981335189367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E4-482F-B6F1-6AF147F216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'Dividend Yield'!$A$2:$A$255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'Dividend Yield'!$C$2:$C$255</c:f>
              <c:numCache>
                <c:formatCode>0.00%</c:formatCode>
                <c:ptCount val="254"/>
                <c:pt idx="0">
                  <c:v>2.0043103448275864E-2</c:v>
                </c:pt>
                <c:pt idx="1">
                  <c:v>1.9999999999999997E-2</c:v>
                </c:pt>
                <c:pt idx="2">
                  <c:v>1.9195046439628483E-2</c:v>
                </c:pt>
                <c:pt idx="3">
                  <c:v>1.9914346895074948E-2</c:v>
                </c:pt>
                <c:pt idx="4">
                  <c:v>1.9517313746065058E-2</c:v>
                </c:pt>
                <c:pt idx="5">
                  <c:v>1.9558359621451103E-2</c:v>
                </c:pt>
                <c:pt idx="6">
                  <c:v>1.9640971488912352E-2</c:v>
                </c:pt>
                <c:pt idx="7">
                  <c:v>1.953781512605042E-2</c:v>
                </c:pt>
                <c:pt idx="8">
                  <c:v>1.9476439790575915E-2</c:v>
                </c:pt>
                <c:pt idx="9">
                  <c:v>1.9682539682539683E-2</c:v>
                </c:pt>
                <c:pt idx="10">
                  <c:v>1.9620253164556962E-2</c:v>
                </c:pt>
                <c:pt idx="11">
                  <c:v>1.9871794871794874E-2</c:v>
                </c:pt>
                <c:pt idx="12">
                  <c:v>1.9456066945606695E-2</c:v>
                </c:pt>
                <c:pt idx="13">
                  <c:v>1.9787234042553191E-2</c:v>
                </c:pt>
                <c:pt idx="14">
                  <c:v>1.9517313746065058E-2</c:v>
                </c:pt>
                <c:pt idx="15">
                  <c:v>1.9274611398963731E-2</c:v>
                </c:pt>
                <c:pt idx="16">
                  <c:v>1.9375E-2</c:v>
                </c:pt>
                <c:pt idx="17">
                  <c:v>1.9294605809128628E-2</c:v>
                </c:pt>
                <c:pt idx="18">
                  <c:v>1.8434093161546084E-2</c:v>
                </c:pt>
                <c:pt idx="19">
                  <c:v>1.8655967903711133E-2</c:v>
                </c:pt>
                <c:pt idx="20">
                  <c:v>1.8825910931174087E-2</c:v>
                </c:pt>
                <c:pt idx="21">
                  <c:v>1.8693467336683419E-2</c:v>
                </c:pt>
                <c:pt idx="22">
                  <c:v>1.8844984802431613E-2</c:v>
                </c:pt>
                <c:pt idx="23">
                  <c:v>1.8749999999999999E-2</c:v>
                </c:pt>
                <c:pt idx="24">
                  <c:v>1.8749999999999999E-2</c:v>
                </c:pt>
                <c:pt idx="25">
                  <c:v>1.8731117824773415E-2</c:v>
                </c:pt>
                <c:pt idx="26">
                  <c:v>1.8960244648318043E-2</c:v>
                </c:pt>
                <c:pt idx="27">
                  <c:v>1.8397626112759646E-2</c:v>
                </c:pt>
                <c:pt idx="28">
                  <c:v>1.8844984802431613E-2</c:v>
                </c:pt>
                <c:pt idx="29">
                  <c:v>1.9018404907975461E-2</c:v>
                </c:pt>
                <c:pt idx="30">
                  <c:v>1.9314641744548285E-2</c:v>
                </c:pt>
                <c:pt idx="31">
                  <c:v>1.9314641744548285E-2</c:v>
                </c:pt>
                <c:pt idx="32">
                  <c:v>1.8979591836734692E-2</c:v>
                </c:pt>
                <c:pt idx="33">
                  <c:v>1.9476439790575915E-2</c:v>
                </c:pt>
                <c:pt idx="34">
                  <c:v>1.91358024691358E-2</c:v>
                </c:pt>
                <c:pt idx="35">
                  <c:v>1.9578947368421053E-2</c:v>
                </c:pt>
                <c:pt idx="36">
                  <c:v>1.8864097363083164E-2</c:v>
                </c:pt>
                <c:pt idx="37">
                  <c:v>1.9234746639089969E-2</c:v>
                </c:pt>
                <c:pt idx="38">
                  <c:v>1.9314641744548285E-2</c:v>
                </c:pt>
                <c:pt idx="39">
                  <c:v>1.953781512605042E-2</c:v>
                </c:pt>
                <c:pt idx="40">
                  <c:v>1.9254658385093167E-2</c:v>
                </c:pt>
                <c:pt idx="41">
                  <c:v>1.91358024691358E-2</c:v>
                </c:pt>
                <c:pt idx="42">
                  <c:v>1.9334719334719336E-2</c:v>
                </c:pt>
                <c:pt idx="43">
                  <c:v>1.9155509783728115E-2</c:v>
                </c:pt>
                <c:pt idx="44">
                  <c:v>1.9415448851774531E-2</c:v>
                </c:pt>
                <c:pt idx="45">
                  <c:v>1.8787878787878787E-2</c:v>
                </c:pt>
                <c:pt idx="46">
                  <c:v>1.8960244648318043E-2</c:v>
                </c:pt>
                <c:pt idx="47">
                  <c:v>1.8749999999999999E-2</c:v>
                </c:pt>
                <c:pt idx="48">
                  <c:v>1.867469879518072E-2</c:v>
                </c:pt>
                <c:pt idx="49">
                  <c:v>1.9076923076923078E-2</c:v>
                </c:pt>
                <c:pt idx="50">
                  <c:v>1.8655967903711133E-2</c:v>
                </c:pt>
                <c:pt idx="51">
                  <c:v>1.867469879518072E-2</c:v>
                </c:pt>
                <c:pt idx="52">
                  <c:v>1.9155509783728115E-2</c:v>
                </c:pt>
                <c:pt idx="53">
                  <c:v>1.8960244648318043E-2</c:v>
                </c:pt>
                <c:pt idx="54">
                  <c:v>1.9076923076923078E-2</c:v>
                </c:pt>
                <c:pt idx="55">
                  <c:v>1.8825910931174087E-2</c:v>
                </c:pt>
                <c:pt idx="56">
                  <c:v>1.9037871033776868E-2</c:v>
                </c:pt>
                <c:pt idx="57">
                  <c:v>1.8902439024390243E-2</c:v>
                </c:pt>
                <c:pt idx="58">
                  <c:v>1.8883248730964468E-2</c:v>
                </c:pt>
                <c:pt idx="59">
                  <c:v>1.8581418581418582E-2</c:v>
                </c:pt>
                <c:pt idx="60">
                  <c:v>1.8844984802431613E-2</c:v>
                </c:pt>
                <c:pt idx="61">
                  <c:v>1.8749999999999999E-2</c:v>
                </c:pt>
                <c:pt idx="62">
                  <c:v>1.8655967903711133E-2</c:v>
                </c:pt>
                <c:pt idx="63">
                  <c:v>1.8655967903711133E-2</c:v>
                </c:pt>
                <c:pt idx="64">
                  <c:v>1.852589641434263E-2</c:v>
                </c:pt>
                <c:pt idx="65">
                  <c:v>1.8637274549098196E-2</c:v>
                </c:pt>
                <c:pt idx="66">
                  <c:v>1.8507462686567163E-2</c:v>
                </c:pt>
                <c:pt idx="67">
                  <c:v>1.8655967903711133E-2</c:v>
                </c:pt>
                <c:pt idx="68">
                  <c:v>1.8507462686567163E-2</c:v>
                </c:pt>
                <c:pt idx="69">
                  <c:v>1.8235294117647061E-2</c:v>
                </c:pt>
                <c:pt idx="70">
                  <c:v>1.8361303060217174E-2</c:v>
                </c:pt>
                <c:pt idx="71">
                  <c:v>1.8637274549098196E-2</c:v>
                </c:pt>
                <c:pt idx="72">
                  <c:v>1.8599999999999998E-2</c:v>
                </c:pt>
                <c:pt idx="73">
                  <c:v>1.8307086614173226E-2</c:v>
                </c:pt>
                <c:pt idx="74">
                  <c:v>1.8749999999999999E-2</c:v>
                </c:pt>
                <c:pt idx="75">
                  <c:v>1.8618618618618618E-2</c:v>
                </c:pt>
                <c:pt idx="76">
                  <c:v>1.8693467336683419E-2</c:v>
                </c:pt>
                <c:pt idx="77">
                  <c:v>1.8731117824773415E-2</c:v>
                </c:pt>
                <c:pt idx="78">
                  <c:v>1.8544366899302094E-2</c:v>
                </c:pt>
                <c:pt idx="79">
                  <c:v>1.8749999999999999E-2</c:v>
                </c:pt>
                <c:pt idx="80">
                  <c:v>1.8693467336683419E-2</c:v>
                </c:pt>
                <c:pt idx="81">
                  <c:v>1.8599999999999998E-2</c:v>
                </c:pt>
                <c:pt idx="82">
                  <c:v>1.8655967903711133E-2</c:v>
                </c:pt>
                <c:pt idx="83">
                  <c:v>1.8562874251497007E-2</c:v>
                </c:pt>
                <c:pt idx="84">
                  <c:v>1.8693467336683419E-2</c:v>
                </c:pt>
                <c:pt idx="85">
                  <c:v>1.921487603305785E-2</c:v>
                </c:pt>
                <c:pt idx="86">
                  <c:v>1.9116135662898253E-2</c:v>
                </c:pt>
                <c:pt idx="87">
                  <c:v>1.8806875631951464E-2</c:v>
                </c:pt>
                <c:pt idx="88">
                  <c:v>1.9018404907975461E-2</c:v>
                </c:pt>
                <c:pt idx="89">
                  <c:v>1.9155509783728115E-2</c:v>
                </c:pt>
                <c:pt idx="90">
                  <c:v>1.9314641744548285E-2</c:v>
                </c:pt>
                <c:pt idx="91">
                  <c:v>1.9620253164556962E-2</c:v>
                </c:pt>
                <c:pt idx="92">
                  <c:v>1.9476439790575915E-2</c:v>
                </c:pt>
                <c:pt idx="93">
                  <c:v>1.8902439024390243E-2</c:v>
                </c:pt>
                <c:pt idx="94">
                  <c:v>1.8712273641851108E-2</c:v>
                </c:pt>
                <c:pt idx="95">
                  <c:v>1.7971014492753623E-2</c:v>
                </c:pt>
                <c:pt idx="96">
                  <c:v>1.9076923076923078E-2</c:v>
                </c:pt>
                <c:pt idx="97">
                  <c:v>1.8825910931174087E-2</c:v>
                </c:pt>
                <c:pt idx="98">
                  <c:v>1.8415841584158415E-2</c:v>
                </c:pt>
                <c:pt idx="99">
                  <c:v>1.8507462686567163E-2</c:v>
                </c:pt>
                <c:pt idx="100">
                  <c:v>1.8489065606361828E-2</c:v>
                </c:pt>
                <c:pt idx="101">
                  <c:v>1.8452380952380953E-2</c:v>
                </c:pt>
                <c:pt idx="102">
                  <c:v>1.8693467336683419E-2</c:v>
                </c:pt>
                <c:pt idx="103">
                  <c:v>1.9018404907975461E-2</c:v>
                </c:pt>
                <c:pt idx="104">
                  <c:v>1.8883248730964468E-2</c:v>
                </c:pt>
                <c:pt idx="105">
                  <c:v>1.867469879518072E-2</c:v>
                </c:pt>
                <c:pt idx="106">
                  <c:v>1.8415841584158415E-2</c:v>
                </c:pt>
                <c:pt idx="107">
                  <c:v>1.804073714839961E-2</c:v>
                </c:pt>
                <c:pt idx="108">
                  <c:v>1.7530631479736099E-2</c:v>
                </c:pt>
                <c:pt idx="109">
                  <c:v>1.7971014492753623E-2</c:v>
                </c:pt>
                <c:pt idx="110">
                  <c:v>1.8599999999999998E-2</c:v>
                </c:pt>
                <c:pt idx="111">
                  <c:v>1.8749999999999999E-2</c:v>
                </c:pt>
                <c:pt idx="112">
                  <c:v>1.8825910931174087E-2</c:v>
                </c:pt>
                <c:pt idx="113">
                  <c:v>1.8489065606361828E-2</c:v>
                </c:pt>
                <c:pt idx="114">
                  <c:v>1.8489065606361828E-2</c:v>
                </c:pt>
                <c:pt idx="115">
                  <c:v>1.7630331753554503E-2</c:v>
                </c:pt>
                <c:pt idx="116">
                  <c:v>1.8146341463414633E-2</c:v>
                </c:pt>
                <c:pt idx="117">
                  <c:v>1.8128654970760234E-2</c:v>
                </c:pt>
                <c:pt idx="118">
                  <c:v>1.8544366899302094E-2</c:v>
                </c:pt>
                <c:pt idx="119">
                  <c:v>1.8470705064548162E-2</c:v>
                </c:pt>
                <c:pt idx="120">
                  <c:v>1.8397626112759646E-2</c:v>
                </c:pt>
                <c:pt idx="121">
                  <c:v>1.8199608610567512E-2</c:v>
                </c:pt>
                <c:pt idx="122">
                  <c:v>1.8271119842829076E-2</c:v>
                </c:pt>
                <c:pt idx="123">
                  <c:v>1.7988394584139266E-2</c:v>
                </c:pt>
                <c:pt idx="124">
                  <c:v>1.8271119842829076E-2</c:v>
                </c:pt>
                <c:pt idx="125">
                  <c:v>1.8253189401373895E-2</c:v>
                </c:pt>
                <c:pt idx="126">
                  <c:v>1.8217433888344757E-2</c:v>
                </c:pt>
                <c:pt idx="127">
                  <c:v>1.8415841584158415E-2</c:v>
                </c:pt>
                <c:pt idx="128">
                  <c:v>1.8397626112759646E-2</c:v>
                </c:pt>
                <c:pt idx="129">
                  <c:v>1.8023255813953486E-2</c:v>
                </c:pt>
                <c:pt idx="130">
                  <c:v>1.8361303060217174E-2</c:v>
                </c:pt>
                <c:pt idx="131">
                  <c:v>1.8489065606361828E-2</c:v>
                </c:pt>
                <c:pt idx="132">
                  <c:v>1.8452380952380953E-2</c:v>
                </c:pt>
                <c:pt idx="133">
                  <c:v>1.8825910931174087E-2</c:v>
                </c:pt>
                <c:pt idx="134">
                  <c:v>1.9195046439628483E-2</c:v>
                </c:pt>
                <c:pt idx="135">
                  <c:v>1.9456066945606695E-2</c:v>
                </c:pt>
                <c:pt idx="136">
                  <c:v>1.9116135662898253E-2</c:v>
                </c:pt>
                <c:pt idx="137">
                  <c:v>1.8864097363083164E-2</c:v>
                </c:pt>
                <c:pt idx="138">
                  <c:v>1.9096509240246407E-2</c:v>
                </c:pt>
                <c:pt idx="139">
                  <c:v>1.9175257731958766E-2</c:v>
                </c:pt>
                <c:pt idx="140">
                  <c:v>1.8960244648318043E-2</c:v>
                </c:pt>
                <c:pt idx="141">
                  <c:v>1.8599999999999998E-2</c:v>
                </c:pt>
                <c:pt idx="142">
                  <c:v>1.8883248730964468E-2</c:v>
                </c:pt>
                <c:pt idx="143">
                  <c:v>1.91358024691358E-2</c:v>
                </c:pt>
                <c:pt idx="144">
                  <c:v>1.9057377049180327E-2</c:v>
                </c:pt>
                <c:pt idx="145">
                  <c:v>1.9057377049180327E-2</c:v>
                </c:pt>
                <c:pt idx="146">
                  <c:v>1.8940936863543787E-2</c:v>
                </c:pt>
                <c:pt idx="147">
                  <c:v>1.8883248730964468E-2</c:v>
                </c:pt>
                <c:pt idx="148">
                  <c:v>1.8787878787878787E-2</c:v>
                </c:pt>
                <c:pt idx="149">
                  <c:v>1.9496855345911952E-2</c:v>
                </c:pt>
                <c:pt idx="150">
                  <c:v>1.9476439790575915E-2</c:v>
                </c:pt>
                <c:pt idx="151">
                  <c:v>1.91358024691358E-2</c:v>
                </c:pt>
                <c:pt idx="152">
                  <c:v>1.91358024691358E-2</c:v>
                </c:pt>
                <c:pt idx="153">
                  <c:v>1.9037871033776868E-2</c:v>
                </c:pt>
                <c:pt idx="154">
                  <c:v>1.9274611398963731E-2</c:v>
                </c:pt>
                <c:pt idx="155">
                  <c:v>1.921487603305785E-2</c:v>
                </c:pt>
                <c:pt idx="156">
                  <c:v>1.9395203336809178E-2</c:v>
                </c:pt>
                <c:pt idx="157">
                  <c:v>1.8960244648318043E-2</c:v>
                </c:pt>
                <c:pt idx="158">
                  <c:v>1.8749999999999999E-2</c:v>
                </c:pt>
                <c:pt idx="159">
                  <c:v>1.8599999999999998E-2</c:v>
                </c:pt>
                <c:pt idx="160">
                  <c:v>1.8562874251497007E-2</c:v>
                </c:pt>
                <c:pt idx="161">
                  <c:v>1.8470705064548162E-2</c:v>
                </c:pt>
                <c:pt idx="162">
                  <c:v>1.867469879518072E-2</c:v>
                </c:pt>
                <c:pt idx="163">
                  <c:v>1.8343195266272188E-2</c:v>
                </c:pt>
                <c:pt idx="164">
                  <c:v>1.8544366899302094E-2</c:v>
                </c:pt>
                <c:pt idx="165">
                  <c:v>1.8562874251497007E-2</c:v>
                </c:pt>
                <c:pt idx="166">
                  <c:v>1.8470705064548162E-2</c:v>
                </c:pt>
                <c:pt idx="167">
                  <c:v>1.8581418581418582E-2</c:v>
                </c:pt>
                <c:pt idx="168">
                  <c:v>1.8343195266272188E-2</c:v>
                </c:pt>
                <c:pt idx="169">
                  <c:v>1.8093385214007784E-2</c:v>
                </c:pt>
                <c:pt idx="170">
                  <c:v>1.8111002921129504E-2</c:v>
                </c:pt>
                <c:pt idx="171">
                  <c:v>1.7714285714285714E-2</c:v>
                </c:pt>
                <c:pt idx="172">
                  <c:v>1.7064220183486238E-2</c:v>
                </c:pt>
                <c:pt idx="173">
                  <c:v>1.6787003610108302E-2</c:v>
                </c:pt>
                <c:pt idx="174">
                  <c:v>1.6756756756756756E-2</c:v>
                </c:pt>
                <c:pt idx="175">
                  <c:v>1.6787003610108302E-2</c:v>
                </c:pt>
                <c:pt idx="176">
                  <c:v>1.6518650088809948E-2</c:v>
                </c:pt>
                <c:pt idx="177">
                  <c:v>1.6315789473684211E-2</c:v>
                </c:pt>
                <c:pt idx="178">
                  <c:v>1.6518650088809948E-2</c:v>
                </c:pt>
                <c:pt idx="179">
                  <c:v>1.6741674167416742E-2</c:v>
                </c:pt>
                <c:pt idx="180">
                  <c:v>1.6548042704626335E-2</c:v>
                </c:pt>
                <c:pt idx="181">
                  <c:v>1.6681614349775786E-2</c:v>
                </c:pt>
                <c:pt idx="182">
                  <c:v>1.6330114135206322E-2</c:v>
                </c:pt>
                <c:pt idx="183">
                  <c:v>1.6503992901508429E-2</c:v>
                </c:pt>
                <c:pt idx="184">
                  <c:v>1.6416593115622241E-2</c:v>
                </c:pt>
                <c:pt idx="185">
                  <c:v>1.6651745747538048E-2</c:v>
                </c:pt>
                <c:pt idx="186">
                  <c:v>1.6696588868940754E-2</c:v>
                </c:pt>
                <c:pt idx="187">
                  <c:v>1.6445623342175066E-2</c:v>
                </c:pt>
                <c:pt idx="188">
                  <c:v>1.628721541155867E-2</c:v>
                </c:pt>
                <c:pt idx="189">
                  <c:v>1.6301489921121824E-2</c:v>
                </c:pt>
                <c:pt idx="190">
                  <c:v>1.6651745747538048E-2</c:v>
                </c:pt>
                <c:pt idx="191">
                  <c:v>1.6636851520572451E-2</c:v>
                </c:pt>
                <c:pt idx="192">
                  <c:v>1.6787003610108302E-2</c:v>
                </c:pt>
                <c:pt idx="193">
                  <c:v>1.6787003610108302E-2</c:v>
                </c:pt>
                <c:pt idx="194">
                  <c:v>1.6666666666666666E-2</c:v>
                </c:pt>
                <c:pt idx="195">
                  <c:v>1.6847826086956522E-2</c:v>
                </c:pt>
                <c:pt idx="196">
                  <c:v>1.6651745747538048E-2</c:v>
                </c:pt>
                <c:pt idx="197">
                  <c:v>1.7064220183486238E-2</c:v>
                </c:pt>
                <c:pt idx="198">
                  <c:v>1.6666666666666666E-2</c:v>
                </c:pt>
                <c:pt idx="199">
                  <c:v>1.6817359855334536E-2</c:v>
                </c:pt>
                <c:pt idx="200">
                  <c:v>1.6726618705035973E-2</c:v>
                </c:pt>
                <c:pt idx="201">
                  <c:v>1.7079889807162532E-2</c:v>
                </c:pt>
                <c:pt idx="202">
                  <c:v>1.6802168021680216E-2</c:v>
                </c:pt>
                <c:pt idx="203">
                  <c:v>1.6726618705035973E-2</c:v>
                </c:pt>
                <c:pt idx="204">
                  <c:v>1.6503992901508429E-2</c:v>
                </c:pt>
                <c:pt idx="205">
                  <c:v>1.6230366492146594E-2</c:v>
                </c:pt>
                <c:pt idx="206">
                  <c:v>1.6006884681583476E-2</c:v>
                </c:pt>
                <c:pt idx="207">
                  <c:v>1.5789473684210527E-2</c:v>
                </c:pt>
                <c:pt idx="208">
                  <c:v>1.5951972555746142E-2</c:v>
                </c:pt>
                <c:pt idx="209">
                  <c:v>1.5564853556485356E-2</c:v>
                </c:pt>
                <c:pt idx="210">
                  <c:v>1.5538847117794486E-2</c:v>
                </c:pt>
                <c:pt idx="211">
                  <c:v>1.5938303341902313E-2</c:v>
                </c:pt>
                <c:pt idx="212">
                  <c:v>1.6173913043478261E-2</c:v>
                </c:pt>
                <c:pt idx="213">
                  <c:v>1.6020671834625324E-2</c:v>
                </c:pt>
                <c:pt idx="214">
                  <c:v>1.6062176165803108E-2</c:v>
                </c:pt>
                <c:pt idx="215">
                  <c:v>1.6230366492146594E-2</c:v>
                </c:pt>
                <c:pt idx="216">
                  <c:v>1.5951972555746142E-2</c:v>
                </c:pt>
                <c:pt idx="217">
                  <c:v>1.6315789473684211E-2</c:v>
                </c:pt>
                <c:pt idx="218">
                  <c:v>1.6460176991150443E-2</c:v>
                </c:pt>
                <c:pt idx="219">
                  <c:v>1.6847826086956522E-2</c:v>
                </c:pt>
                <c:pt idx="220">
                  <c:v>1.6711590296495955E-2</c:v>
                </c:pt>
                <c:pt idx="221">
                  <c:v>1.6503992901508429E-2</c:v>
                </c:pt>
                <c:pt idx="222">
                  <c:v>1.6474756421612047E-2</c:v>
                </c:pt>
                <c:pt idx="223">
                  <c:v>1.6301489921121824E-2</c:v>
                </c:pt>
                <c:pt idx="224">
                  <c:v>1.6533333333333334E-2</c:v>
                </c:pt>
                <c:pt idx="225">
                  <c:v>1.6893732970027248E-2</c:v>
                </c:pt>
                <c:pt idx="226">
                  <c:v>1.6787003610108302E-2</c:v>
                </c:pt>
                <c:pt idx="227">
                  <c:v>1.6621983914209115E-2</c:v>
                </c:pt>
                <c:pt idx="228">
                  <c:v>1.6607142857142859E-2</c:v>
                </c:pt>
                <c:pt idx="229">
                  <c:v>1.628721541155867E-2</c:v>
                </c:pt>
                <c:pt idx="230">
                  <c:v>1.6315789473684211E-2</c:v>
                </c:pt>
                <c:pt idx="231">
                  <c:v>1.603448275862069E-2</c:v>
                </c:pt>
                <c:pt idx="232">
                  <c:v>1.6076058772687987E-2</c:v>
                </c:pt>
                <c:pt idx="233">
                  <c:v>1.5993121238177126E-2</c:v>
                </c:pt>
                <c:pt idx="234">
                  <c:v>1.6020671834625324E-2</c:v>
                </c:pt>
                <c:pt idx="235">
                  <c:v>1.6402116402116401E-2</c:v>
                </c:pt>
                <c:pt idx="236">
                  <c:v>1.6373239436619717E-2</c:v>
                </c:pt>
                <c:pt idx="237">
                  <c:v>1.6062176165803108E-2</c:v>
                </c:pt>
                <c:pt idx="238">
                  <c:v>1.6373239436619717E-2</c:v>
                </c:pt>
                <c:pt idx="239">
                  <c:v>1.6258741258741258E-2</c:v>
                </c:pt>
                <c:pt idx="240">
                  <c:v>1.6771866546438231E-2</c:v>
                </c:pt>
                <c:pt idx="241">
                  <c:v>1.7017383348581886E-2</c:v>
                </c:pt>
                <c:pt idx="242">
                  <c:v>1.7111315547378107E-2</c:v>
                </c:pt>
                <c:pt idx="243">
                  <c:v>1.6955332725615314E-2</c:v>
                </c:pt>
                <c:pt idx="244">
                  <c:v>1.6939890710382512E-2</c:v>
                </c:pt>
                <c:pt idx="245">
                  <c:v>1.6460176991150443E-2</c:v>
                </c:pt>
                <c:pt idx="246">
                  <c:v>1.6518650088809948E-2</c:v>
                </c:pt>
                <c:pt idx="247">
                  <c:v>1.6970802919708029E-2</c:v>
                </c:pt>
                <c:pt idx="248">
                  <c:v>1.6387665198237887E-2</c:v>
                </c:pt>
                <c:pt idx="249">
                  <c:v>1.6330114135206322E-2</c:v>
                </c:pt>
                <c:pt idx="250">
                  <c:v>1.6089965397923876E-2</c:v>
                </c:pt>
                <c:pt idx="251">
                  <c:v>1.6103896103896103E-2</c:v>
                </c:pt>
                <c:pt idx="252">
                  <c:v>1.6076058772687987E-2</c:v>
                </c:pt>
                <c:pt idx="253">
                  <c:v>1.6076058772687987E-2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4-482F-B6F1-6AF147F21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45775"/>
        <c:axId val="572160655"/>
      </c:lineChart>
      <c:dateAx>
        <c:axId val="572160175"/>
        <c:scaling>
          <c:orientation val="minMax"/>
        </c:scaling>
        <c:delete val="0"/>
        <c:axPos val="b"/>
        <c:numFmt formatCode="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46255"/>
        <c:crosses val="autoZero"/>
        <c:auto val="1"/>
        <c:lblOffset val="100"/>
        <c:baseTimeUnit val="days"/>
        <c:majorUnit val="15"/>
        <c:majorTimeUnit val="days"/>
      </c:dateAx>
      <c:valAx>
        <c:axId val="572146255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60175"/>
        <c:crosses val="autoZero"/>
        <c:crossBetween val="between"/>
      </c:valAx>
      <c:valAx>
        <c:axId val="572160655"/>
        <c:scaling>
          <c:orientation val="minMax"/>
          <c:min val="1.5000000000000003E-2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145775"/>
        <c:crosses val="max"/>
        <c:crossBetween val="between"/>
      </c:valAx>
      <c:dateAx>
        <c:axId val="572145775"/>
        <c:scaling>
          <c:orientation val="minMax"/>
        </c:scaling>
        <c:delete val="1"/>
        <c:axPos val="b"/>
        <c:numFmt formatCode="d/mm/yyyy;@" sourceLinked="1"/>
        <c:majorTickMark val="out"/>
        <c:minorTickMark val="none"/>
        <c:tickLblPos val="nextTo"/>
        <c:crossAx val="572160655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Yearly Portfolio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Portfolio'!$P$1</c:f>
              <c:strCache>
                <c:ptCount val="1"/>
                <c:pt idx="0">
                  <c:v>total values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'Yearly Portfolio'!$J$2:$J$3</c:f>
              <c:numCache>
                <c:formatCode>d/mm/yyyy;@</c:formatCode>
                <c:ptCount val="2"/>
                <c:pt idx="0" formatCode="m/d/yyyy">
                  <c:v>45323</c:v>
                </c:pt>
                <c:pt idx="1">
                  <c:v>45657</c:v>
                </c:pt>
              </c:numCache>
            </c:numRef>
          </c:cat>
          <c:val>
            <c:numRef>
              <c:f>'Yearly Portfolio'!$P$2:$P$3</c:f>
              <c:numCache>
                <c:formatCode>"$"#,##0.00</c:formatCode>
                <c:ptCount val="2"/>
                <c:pt idx="0">
                  <c:v>1000</c:v>
                </c:pt>
                <c:pt idx="1">
                  <c:v>1264.9320000000002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3-483B-A82F-8DC68F9A5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434822687"/>
        <c:axId val="434821727"/>
      </c:barChart>
      <c:lineChart>
        <c:grouping val="standard"/>
        <c:varyColors val="0"/>
        <c:ser>
          <c:idx val="1"/>
          <c:order val="1"/>
          <c:tx>
            <c:strRef>
              <c:f>'Yearly Portfolio'!$Q$1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7.201123261825329E-2"/>
                  <c:y val="-0.125000000000000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F-4793-A647-56CDBA319676}"/>
                </c:ext>
              </c:extLst>
            </c:dLbl>
            <c:dLbl>
              <c:idx val="1"/>
              <c:layout>
                <c:manualLayout>
                  <c:x val="4.7257371405728554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0F-4793-A647-56CDBA319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'Yearly Portfolio'!$J$2:$J$3</c:f>
              <c:numCache>
                <c:formatCode>d/mm/yyyy;@</c:formatCode>
                <c:ptCount val="2"/>
                <c:pt idx="0" formatCode="m/d/yyyy">
                  <c:v>45323</c:v>
                </c:pt>
                <c:pt idx="1">
                  <c:v>45657</c:v>
                </c:pt>
              </c:numCache>
            </c:numRef>
          </c:cat>
          <c:val>
            <c:numRef>
              <c:f>'Yearly Portfolio'!$Q$2:$Q$3</c:f>
              <c:numCache>
                <c:formatCode>0.00%</c:formatCode>
                <c:ptCount val="2"/>
                <c:pt idx="0">
                  <c:v>1</c:v>
                </c:pt>
                <c:pt idx="1">
                  <c:v>1.2649320000000002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23-483B-A82F-8DC68F9A5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825087"/>
        <c:axId val="434821247"/>
      </c:lineChart>
      <c:catAx>
        <c:axId val="4348226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1727"/>
        <c:crosses val="autoZero"/>
        <c:auto val="0"/>
        <c:lblAlgn val="ctr"/>
        <c:lblOffset val="100"/>
        <c:noMultiLvlLbl val="0"/>
      </c:catAx>
      <c:valAx>
        <c:axId val="434821727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2687"/>
        <c:crosses val="autoZero"/>
        <c:crossBetween val="between"/>
        <c:majorUnit val="500"/>
      </c:valAx>
      <c:valAx>
        <c:axId val="4348212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5087"/>
        <c:crosses val="max"/>
        <c:crossBetween val="between"/>
      </c:valAx>
      <c:dateAx>
        <c:axId val="43482508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3482124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x</a:t>
            </a:r>
            <a:r>
              <a:rPr lang="en-US" baseline="0"/>
              <a:t> TRADE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43019570686445E-2"/>
          <c:y val="3.7115521137347521E-2"/>
          <c:w val="0.95019635008966985"/>
          <c:h val="0.88710170008031197"/>
        </c:manualLayout>
      </c:layout>
      <c:lineChart>
        <c:grouping val="standard"/>
        <c:varyColors val="0"/>
        <c:ser>
          <c:idx val="0"/>
          <c:order val="0"/>
          <c:tx>
            <c:strRef>
              <c:f>'1xtrade'!$G$1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3931229146595798E-2"/>
                  <c:y val="1.9197146014928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49387461947203E-2"/>
                      <c:h val="3.51709496345350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4D7-D940-9B39-13FF8BE315C1}"/>
                </c:ext>
              </c:extLst>
            </c:dLbl>
            <c:dLbl>
              <c:idx val="210"/>
              <c:layout>
                <c:manualLayout>
                  <c:x val="8.9817959505694763E-3"/>
                  <c:y val="-1.59976741649150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028469857155655E-2"/>
                      <c:h val="4.15700193005010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4D7-D940-9B39-13FF8BE315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'1xtrade'!$F$2:$F$255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'1xtrade'!$G$2:$G$255</c:f>
              <c:numCache>
                <c:formatCode>"$"#,##0.00</c:formatCode>
                <c:ptCount val="254"/>
                <c:pt idx="0">
                  <c:v>9.2799999999999994</c:v>
                </c:pt>
                <c:pt idx="1">
                  <c:v>9.3000000000000007</c:v>
                </c:pt>
                <c:pt idx="2">
                  <c:v>9.69</c:v>
                </c:pt>
                <c:pt idx="3">
                  <c:v>9.34</c:v>
                </c:pt>
                <c:pt idx="4">
                  <c:v>9.5299999999999994</c:v>
                </c:pt>
                <c:pt idx="5">
                  <c:v>9.51</c:v>
                </c:pt>
                <c:pt idx="6">
                  <c:v>9.4700000000000006</c:v>
                </c:pt>
                <c:pt idx="7">
                  <c:v>9.52</c:v>
                </c:pt>
                <c:pt idx="8">
                  <c:v>9.5500000000000007</c:v>
                </c:pt>
                <c:pt idx="9">
                  <c:v>9.4499999999999993</c:v>
                </c:pt>
                <c:pt idx="10">
                  <c:v>9.48</c:v>
                </c:pt>
                <c:pt idx="11">
                  <c:v>9.36</c:v>
                </c:pt>
                <c:pt idx="12">
                  <c:v>9.56</c:v>
                </c:pt>
                <c:pt idx="13">
                  <c:v>9.4</c:v>
                </c:pt>
                <c:pt idx="14">
                  <c:v>9.5299999999999994</c:v>
                </c:pt>
                <c:pt idx="15">
                  <c:v>9.65</c:v>
                </c:pt>
                <c:pt idx="16">
                  <c:v>9.6</c:v>
                </c:pt>
                <c:pt idx="17">
                  <c:v>9.64</c:v>
                </c:pt>
                <c:pt idx="18">
                  <c:v>10.09</c:v>
                </c:pt>
                <c:pt idx="19">
                  <c:v>9.9700000000000006</c:v>
                </c:pt>
                <c:pt idx="20">
                  <c:v>9.8800000000000008</c:v>
                </c:pt>
                <c:pt idx="21">
                  <c:v>9.9499999999999993</c:v>
                </c:pt>
                <c:pt idx="22">
                  <c:v>9.8699999999999992</c:v>
                </c:pt>
                <c:pt idx="23">
                  <c:v>9.92</c:v>
                </c:pt>
                <c:pt idx="24">
                  <c:v>9.92</c:v>
                </c:pt>
                <c:pt idx="25">
                  <c:v>9.93</c:v>
                </c:pt>
                <c:pt idx="26">
                  <c:v>9.81</c:v>
                </c:pt>
                <c:pt idx="27">
                  <c:v>10.11</c:v>
                </c:pt>
                <c:pt idx="28">
                  <c:v>9.8699999999999992</c:v>
                </c:pt>
                <c:pt idx="29">
                  <c:v>9.7799999999999994</c:v>
                </c:pt>
                <c:pt idx="30">
                  <c:v>9.6300000000000008</c:v>
                </c:pt>
                <c:pt idx="31">
                  <c:v>9.6300000000000008</c:v>
                </c:pt>
                <c:pt idx="32">
                  <c:v>9.8000000000000007</c:v>
                </c:pt>
                <c:pt idx="33">
                  <c:v>9.5500000000000007</c:v>
                </c:pt>
                <c:pt idx="34">
                  <c:v>9.7200000000000006</c:v>
                </c:pt>
                <c:pt idx="35">
                  <c:v>9.5</c:v>
                </c:pt>
                <c:pt idx="36">
                  <c:v>9.86</c:v>
                </c:pt>
                <c:pt idx="37">
                  <c:v>9.67</c:v>
                </c:pt>
                <c:pt idx="38">
                  <c:v>9.6300000000000008</c:v>
                </c:pt>
                <c:pt idx="39">
                  <c:v>9.52</c:v>
                </c:pt>
                <c:pt idx="40">
                  <c:v>9.66</c:v>
                </c:pt>
                <c:pt idx="41">
                  <c:v>9.7200000000000006</c:v>
                </c:pt>
                <c:pt idx="42">
                  <c:v>9.6199999999999992</c:v>
                </c:pt>
                <c:pt idx="43">
                  <c:v>9.7100000000000009</c:v>
                </c:pt>
                <c:pt idx="44">
                  <c:v>9.58</c:v>
                </c:pt>
                <c:pt idx="45">
                  <c:v>9.9</c:v>
                </c:pt>
                <c:pt idx="46">
                  <c:v>9.81</c:v>
                </c:pt>
                <c:pt idx="47">
                  <c:v>9.92</c:v>
                </c:pt>
                <c:pt idx="48">
                  <c:v>9.9600000000000009</c:v>
                </c:pt>
                <c:pt idx="49">
                  <c:v>9.75</c:v>
                </c:pt>
                <c:pt idx="50">
                  <c:v>9.9700000000000006</c:v>
                </c:pt>
                <c:pt idx="51">
                  <c:v>9.9600000000000009</c:v>
                </c:pt>
                <c:pt idx="52">
                  <c:v>9.7100000000000009</c:v>
                </c:pt>
                <c:pt idx="53">
                  <c:v>9.81</c:v>
                </c:pt>
                <c:pt idx="54">
                  <c:v>9.75</c:v>
                </c:pt>
                <c:pt idx="55">
                  <c:v>9.8800000000000008</c:v>
                </c:pt>
                <c:pt idx="56">
                  <c:v>9.77</c:v>
                </c:pt>
                <c:pt idx="57">
                  <c:v>9.84</c:v>
                </c:pt>
                <c:pt idx="58">
                  <c:v>9.85</c:v>
                </c:pt>
                <c:pt idx="59">
                  <c:v>10.01</c:v>
                </c:pt>
                <c:pt idx="60">
                  <c:v>9.8699999999999992</c:v>
                </c:pt>
                <c:pt idx="61">
                  <c:v>9.92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10.039999999999999</c:v>
                </c:pt>
                <c:pt idx="65">
                  <c:v>9.98</c:v>
                </c:pt>
                <c:pt idx="66">
                  <c:v>10.050000000000001</c:v>
                </c:pt>
                <c:pt idx="67">
                  <c:v>9.9700000000000006</c:v>
                </c:pt>
                <c:pt idx="68">
                  <c:v>10.050000000000001</c:v>
                </c:pt>
                <c:pt idx="69">
                  <c:v>10.199999999999999</c:v>
                </c:pt>
                <c:pt idx="70">
                  <c:v>10.130000000000001</c:v>
                </c:pt>
                <c:pt idx="71">
                  <c:v>9.98</c:v>
                </c:pt>
                <c:pt idx="72">
                  <c:v>10</c:v>
                </c:pt>
                <c:pt idx="73">
                  <c:v>10.16</c:v>
                </c:pt>
                <c:pt idx="74">
                  <c:v>9.92</c:v>
                </c:pt>
                <c:pt idx="75">
                  <c:v>9.99</c:v>
                </c:pt>
                <c:pt idx="76">
                  <c:v>9.9499999999999993</c:v>
                </c:pt>
                <c:pt idx="77">
                  <c:v>9.93</c:v>
                </c:pt>
                <c:pt idx="78">
                  <c:v>10.029999999999999</c:v>
                </c:pt>
                <c:pt idx="79">
                  <c:v>9.92</c:v>
                </c:pt>
                <c:pt idx="80">
                  <c:v>9.9499999999999993</c:v>
                </c:pt>
                <c:pt idx="81">
                  <c:v>10</c:v>
                </c:pt>
                <c:pt idx="82">
                  <c:v>9.9700000000000006</c:v>
                </c:pt>
                <c:pt idx="83">
                  <c:v>10.02</c:v>
                </c:pt>
                <c:pt idx="84">
                  <c:v>9.9499999999999993</c:v>
                </c:pt>
                <c:pt idx="85">
                  <c:v>9.68</c:v>
                </c:pt>
                <c:pt idx="86">
                  <c:v>9.73</c:v>
                </c:pt>
                <c:pt idx="87">
                  <c:v>9.89</c:v>
                </c:pt>
                <c:pt idx="88">
                  <c:v>9.7799999999999994</c:v>
                </c:pt>
                <c:pt idx="89">
                  <c:v>9.7100000000000009</c:v>
                </c:pt>
                <c:pt idx="90">
                  <c:v>9.6300000000000008</c:v>
                </c:pt>
                <c:pt idx="91">
                  <c:v>9.48</c:v>
                </c:pt>
                <c:pt idx="92">
                  <c:v>9.5500000000000007</c:v>
                </c:pt>
                <c:pt idx="93">
                  <c:v>9.84</c:v>
                </c:pt>
                <c:pt idx="94">
                  <c:v>9.94</c:v>
                </c:pt>
                <c:pt idx="95">
                  <c:v>10.35</c:v>
                </c:pt>
                <c:pt idx="96">
                  <c:v>9.75</c:v>
                </c:pt>
                <c:pt idx="97">
                  <c:v>9.8800000000000008</c:v>
                </c:pt>
                <c:pt idx="98">
                  <c:v>10.1</c:v>
                </c:pt>
                <c:pt idx="99">
                  <c:v>10.050000000000001</c:v>
                </c:pt>
                <c:pt idx="100">
                  <c:v>10.06</c:v>
                </c:pt>
                <c:pt idx="101">
                  <c:v>10.08</c:v>
                </c:pt>
                <c:pt idx="102">
                  <c:v>9.9499999999999993</c:v>
                </c:pt>
                <c:pt idx="103">
                  <c:v>9.7799999999999994</c:v>
                </c:pt>
                <c:pt idx="104">
                  <c:v>9.85</c:v>
                </c:pt>
                <c:pt idx="105">
                  <c:v>9.9600000000000009</c:v>
                </c:pt>
                <c:pt idx="106">
                  <c:v>10.1</c:v>
                </c:pt>
                <c:pt idx="107">
                  <c:v>10.31</c:v>
                </c:pt>
                <c:pt idx="108">
                  <c:v>10.61</c:v>
                </c:pt>
                <c:pt idx="109">
                  <c:v>10.35</c:v>
                </c:pt>
                <c:pt idx="110">
                  <c:v>10</c:v>
                </c:pt>
                <c:pt idx="111">
                  <c:v>9.92</c:v>
                </c:pt>
                <c:pt idx="112">
                  <c:v>9.8800000000000008</c:v>
                </c:pt>
                <c:pt idx="113">
                  <c:v>10.06</c:v>
                </c:pt>
                <c:pt idx="114">
                  <c:v>10.06</c:v>
                </c:pt>
                <c:pt idx="115">
                  <c:v>10.55</c:v>
                </c:pt>
                <c:pt idx="116">
                  <c:v>10.25</c:v>
                </c:pt>
                <c:pt idx="117">
                  <c:v>10.26</c:v>
                </c:pt>
                <c:pt idx="118">
                  <c:v>10.029999999999999</c:v>
                </c:pt>
                <c:pt idx="119">
                  <c:v>10.07</c:v>
                </c:pt>
                <c:pt idx="120">
                  <c:v>10.11</c:v>
                </c:pt>
                <c:pt idx="121">
                  <c:v>10.220000000000001</c:v>
                </c:pt>
                <c:pt idx="122">
                  <c:v>10.18</c:v>
                </c:pt>
                <c:pt idx="123">
                  <c:v>10.34</c:v>
                </c:pt>
                <c:pt idx="124">
                  <c:v>10.18</c:v>
                </c:pt>
                <c:pt idx="125">
                  <c:v>10.19</c:v>
                </c:pt>
                <c:pt idx="126">
                  <c:v>10.210000000000001</c:v>
                </c:pt>
                <c:pt idx="127">
                  <c:v>10.1</c:v>
                </c:pt>
                <c:pt idx="128">
                  <c:v>10.11</c:v>
                </c:pt>
                <c:pt idx="129">
                  <c:v>10.32</c:v>
                </c:pt>
                <c:pt idx="130">
                  <c:v>10.130000000000001</c:v>
                </c:pt>
                <c:pt idx="131">
                  <c:v>10.06</c:v>
                </c:pt>
                <c:pt idx="132">
                  <c:v>10.08</c:v>
                </c:pt>
                <c:pt idx="133">
                  <c:v>9.8800000000000008</c:v>
                </c:pt>
                <c:pt idx="134">
                  <c:v>9.69</c:v>
                </c:pt>
                <c:pt idx="135">
                  <c:v>9.56</c:v>
                </c:pt>
                <c:pt idx="136">
                  <c:v>9.73</c:v>
                </c:pt>
                <c:pt idx="137">
                  <c:v>9.86</c:v>
                </c:pt>
                <c:pt idx="138">
                  <c:v>9.74</c:v>
                </c:pt>
                <c:pt idx="139">
                  <c:v>9.6999999999999993</c:v>
                </c:pt>
                <c:pt idx="140">
                  <c:v>9.81</c:v>
                </c:pt>
                <c:pt idx="141">
                  <c:v>10</c:v>
                </c:pt>
                <c:pt idx="142">
                  <c:v>9.85</c:v>
                </c:pt>
                <c:pt idx="143">
                  <c:v>9.7200000000000006</c:v>
                </c:pt>
                <c:pt idx="144">
                  <c:v>9.76</c:v>
                </c:pt>
                <c:pt idx="145">
                  <c:v>9.76</c:v>
                </c:pt>
                <c:pt idx="146">
                  <c:v>9.82</c:v>
                </c:pt>
                <c:pt idx="147">
                  <c:v>9.85</c:v>
                </c:pt>
                <c:pt idx="148">
                  <c:v>9.9</c:v>
                </c:pt>
                <c:pt idx="149">
                  <c:v>9.5399999999999991</c:v>
                </c:pt>
                <c:pt idx="150">
                  <c:v>9.5500000000000007</c:v>
                </c:pt>
                <c:pt idx="151">
                  <c:v>9.7200000000000006</c:v>
                </c:pt>
                <c:pt idx="152">
                  <c:v>9.7200000000000006</c:v>
                </c:pt>
                <c:pt idx="153">
                  <c:v>9.77</c:v>
                </c:pt>
                <c:pt idx="154">
                  <c:v>9.65</c:v>
                </c:pt>
                <c:pt idx="155">
                  <c:v>9.68</c:v>
                </c:pt>
                <c:pt idx="156">
                  <c:v>9.59</c:v>
                </c:pt>
                <c:pt idx="157">
                  <c:v>9.81</c:v>
                </c:pt>
                <c:pt idx="158">
                  <c:v>9.92</c:v>
                </c:pt>
                <c:pt idx="159">
                  <c:v>10</c:v>
                </c:pt>
                <c:pt idx="160">
                  <c:v>10.02</c:v>
                </c:pt>
                <c:pt idx="161">
                  <c:v>10.07</c:v>
                </c:pt>
                <c:pt idx="162">
                  <c:v>9.9600000000000009</c:v>
                </c:pt>
                <c:pt idx="163">
                  <c:v>10.14</c:v>
                </c:pt>
                <c:pt idx="164">
                  <c:v>10.029999999999999</c:v>
                </c:pt>
                <c:pt idx="165">
                  <c:v>10.02</c:v>
                </c:pt>
                <c:pt idx="166">
                  <c:v>10.07</c:v>
                </c:pt>
                <c:pt idx="167">
                  <c:v>10.01</c:v>
                </c:pt>
                <c:pt idx="168">
                  <c:v>10.14</c:v>
                </c:pt>
                <c:pt idx="169">
                  <c:v>10.28</c:v>
                </c:pt>
                <c:pt idx="170">
                  <c:v>10.27</c:v>
                </c:pt>
                <c:pt idx="171">
                  <c:v>10.5</c:v>
                </c:pt>
                <c:pt idx="172">
                  <c:v>10.9</c:v>
                </c:pt>
                <c:pt idx="173">
                  <c:v>11.08</c:v>
                </c:pt>
                <c:pt idx="174">
                  <c:v>11.1</c:v>
                </c:pt>
                <c:pt idx="175">
                  <c:v>11.08</c:v>
                </c:pt>
                <c:pt idx="176">
                  <c:v>11.26</c:v>
                </c:pt>
                <c:pt idx="177">
                  <c:v>11.4</c:v>
                </c:pt>
                <c:pt idx="178">
                  <c:v>11.26</c:v>
                </c:pt>
                <c:pt idx="179">
                  <c:v>11.11</c:v>
                </c:pt>
                <c:pt idx="180">
                  <c:v>11.24</c:v>
                </c:pt>
                <c:pt idx="181">
                  <c:v>11.15</c:v>
                </c:pt>
                <c:pt idx="182">
                  <c:v>11.39</c:v>
                </c:pt>
                <c:pt idx="183">
                  <c:v>11.27</c:v>
                </c:pt>
                <c:pt idx="184">
                  <c:v>11.33</c:v>
                </c:pt>
                <c:pt idx="185">
                  <c:v>11.17</c:v>
                </c:pt>
                <c:pt idx="186">
                  <c:v>11.14</c:v>
                </c:pt>
                <c:pt idx="187">
                  <c:v>11.31</c:v>
                </c:pt>
                <c:pt idx="188">
                  <c:v>11.42</c:v>
                </c:pt>
                <c:pt idx="189">
                  <c:v>11.41</c:v>
                </c:pt>
                <c:pt idx="190">
                  <c:v>11.17</c:v>
                </c:pt>
                <c:pt idx="191">
                  <c:v>11.18</c:v>
                </c:pt>
                <c:pt idx="192">
                  <c:v>11.08</c:v>
                </c:pt>
                <c:pt idx="193">
                  <c:v>11.08</c:v>
                </c:pt>
                <c:pt idx="194">
                  <c:v>11.16</c:v>
                </c:pt>
                <c:pt idx="195">
                  <c:v>11.04</c:v>
                </c:pt>
                <c:pt idx="196">
                  <c:v>11.17</c:v>
                </c:pt>
                <c:pt idx="197">
                  <c:v>10.9</c:v>
                </c:pt>
                <c:pt idx="198">
                  <c:v>11.16</c:v>
                </c:pt>
                <c:pt idx="199">
                  <c:v>11.06</c:v>
                </c:pt>
                <c:pt idx="200">
                  <c:v>11.12</c:v>
                </c:pt>
                <c:pt idx="201">
                  <c:v>10.89</c:v>
                </c:pt>
                <c:pt idx="202">
                  <c:v>11.07</c:v>
                </c:pt>
                <c:pt idx="203">
                  <c:v>11.12</c:v>
                </c:pt>
                <c:pt idx="204">
                  <c:v>11.27</c:v>
                </c:pt>
                <c:pt idx="205">
                  <c:v>11.46</c:v>
                </c:pt>
                <c:pt idx="206">
                  <c:v>11.62</c:v>
                </c:pt>
                <c:pt idx="207">
                  <c:v>11.78</c:v>
                </c:pt>
                <c:pt idx="208">
                  <c:v>11.66</c:v>
                </c:pt>
                <c:pt idx="209">
                  <c:v>11.95</c:v>
                </c:pt>
                <c:pt idx="210">
                  <c:v>11.97</c:v>
                </c:pt>
                <c:pt idx="211">
                  <c:v>11.67</c:v>
                </c:pt>
                <c:pt idx="212">
                  <c:v>11.5</c:v>
                </c:pt>
                <c:pt idx="213">
                  <c:v>11.61</c:v>
                </c:pt>
                <c:pt idx="214">
                  <c:v>11.58</c:v>
                </c:pt>
                <c:pt idx="215">
                  <c:v>11.46</c:v>
                </c:pt>
                <c:pt idx="216">
                  <c:v>11.66</c:v>
                </c:pt>
                <c:pt idx="217">
                  <c:v>11.4</c:v>
                </c:pt>
                <c:pt idx="218">
                  <c:v>11.3</c:v>
                </c:pt>
                <c:pt idx="219">
                  <c:v>11.04</c:v>
                </c:pt>
                <c:pt idx="220">
                  <c:v>11.13</c:v>
                </c:pt>
                <c:pt idx="221">
                  <c:v>11.27</c:v>
                </c:pt>
                <c:pt idx="222">
                  <c:v>11.29</c:v>
                </c:pt>
                <c:pt idx="223">
                  <c:v>11.41</c:v>
                </c:pt>
                <c:pt idx="224">
                  <c:v>11.25</c:v>
                </c:pt>
                <c:pt idx="225">
                  <c:v>11.01</c:v>
                </c:pt>
                <c:pt idx="226">
                  <c:v>11.08</c:v>
                </c:pt>
                <c:pt idx="227">
                  <c:v>11.19</c:v>
                </c:pt>
                <c:pt idx="228">
                  <c:v>11.2</c:v>
                </c:pt>
                <c:pt idx="229">
                  <c:v>11.42</c:v>
                </c:pt>
                <c:pt idx="230">
                  <c:v>11.4</c:v>
                </c:pt>
                <c:pt idx="231">
                  <c:v>11.6</c:v>
                </c:pt>
                <c:pt idx="232">
                  <c:v>11.57</c:v>
                </c:pt>
                <c:pt idx="233">
                  <c:v>11.63</c:v>
                </c:pt>
                <c:pt idx="234">
                  <c:v>11.61</c:v>
                </c:pt>
                <c:pt idx="235">
                  <c:v>11.34</c:v>
                </c:pt>
                <c:pt idx="236">
                  <c:v>11.36</c:v>
                </c:pt>
                <c:pt idx="237">
                  <c:v>11.58</c:v>
                </c:pt>
                <c:pt idx="238">
                  <c:v>11.36</c:v>
                </c:pt>
                <c:pt idx="239">
                  <c:v>11.44</c:v>
                </c:pt>
                <c:pt idx="240">
                  <c:v>11.09</c:v>
                </c:pt>
                <c:pt idx="241">
                  <c:v>10.93</c:v>
                </c:pt>
                <c:pt idx="242">
                  <c:v>10.87</c:v>
                </c:pt>
                <c:pt idx="243">
                  <c:v>10.97</c:v>
                </c:pt>
                <c:pt idx="244">
                  <c:v>10.98</c:v>
                </c:pt>
                <c:pt idx="245">
                  <c:v>11.3</c:v>
                </c:pt>
                <c:pt idx="246">
                  <c:v>11.26</c:v>
                </c:pt>
                <c:pt idx="247">
                  <c:v>10.96</c:v>
                </c:pt>
                <c:pt idx="248">
                  <c:v>11.35</c:v>
                </c:pt>
                <c:pt idx="249">
                  <c:v>11.39</c:v>
                </c:pt>
                <c:pt idx="250">
                  <c:v>11.56</c:v>
                </c:pt>
                <c:pt idx="251">
                  <c:v>11.55</c:v>
                </c:pt>
                <c:pt idx="252">
                  <c:v>11.57</c:v>
                </c:pt>
                <c:pt idx="25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D7-D940-9B39-13FF8BE31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361616"/>
        <c:axId val="796519792"/>
      </c:lineChart>
      <c:dateAx>
        <c:axId val="796361616"/>
        <c:scaling>
          <c:orientation val="minMax"/>
        </c:scaling>
        <c:delete val="0"/>
        <c:axPos val="b"/>
        <c:numFmt formatCode="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519792"/>
        <c:crosses val="autoZero"/>
        <c:auto val="1"/>
        <c:lblOffset val="100"/>
        <c:baseTimeUnit val="days"/>
      </c:dateAx>
      <c:valAx>
        <c:axId val="796519792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6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  <a:r>
              <a:rPr lang="en-US" baseline="0"/>
              <a:t> x Trade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'1xtrade'!$S$1</c:f>
              <c:strCache>
                <c:ptCount val="1"/>
                <c:pt idx="0">
                  <c:v>total values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'1xtrade'!$M$2:$M$3</c:f>
              <c:numCache>
                <c:formatCode>d/mm/yyyy;@</c:formatCode>
                <c:ptCount val="2"/>
                <c:pt idx="0" formatCode="m/d/yyyy">
                  <c:v>45323</c:v>
                </c:pt>
                <c:pt idx="1">
                  <c:v>45594</c:v>
                </c:pt>
              </c:numCache>
            </c:numRef>
          </c:cat>
          <c:val>
            <c:numRef>
              <c:f>'1xtrade'!$S$2:$S$3</c:f>
              <c:numCache>
                <c:formatCode>"$"#,##0.00</c:formatCode>
                <c:ptCount val="2"/>
                <c:pt idx="0">
                  <c:v>1000</c:v>
                </c:pt>
                <c:pt idx="1">
                  <c:v>1307.732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7-4691-B097-7F0F9F99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440773279"/>
        <c:axId val="440767519"/>
      </c:barChart>
      <c:lineChart>
        <c:grouping val="standard"/>
        <c:varyColors val="0"/>
        <c:ser>
          <c:idx val="1"/>
          <c:order val="1"/>
          <c:tx>
            <c:strRef>
              <c:f>'1xtrade'!$T$1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2211673814952768E-2"/>
                  <c:y val="-0.161058359348556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7C-4BA5-8F89-2CA36AF2551B}"/>
                </c:ext>
              </c:extLst>
            </c:dLbl>
            <c:dLbl>
              <c:idx val="1"/>
              <c:layout>
                <c:manualLayout>
                  <c:x val="2.7610006127102325E-2"/>
                  <c:y val="-8.8198625357542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7C-4BA5-8F89-2CA36AF255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'1xtrade'!$M$2:$M$3</c:f>
              <c:numCache>
                <c:formatCode>d/mm/yyyy;@</c:formatCode>
                <c:ptCount val="2"/>
                <c:pt idx="0" formatCode="m/d/yyyy">
                  <c:v>45323</c:v>
                </c:pt>
                <c:pt idx="1">
                  <c:v>45594</c:v>
                </c:pt>
              </c:numCache>
            </c:numRef>
          </c:cat>
          <c:val>
            <c:numRef>
              <c:f>'1xtrade'!$T$2:$T$3</c:f>
              <c:numCache>
                <c:formatCode>0.00%</c:formatCode>
                <c:ptCount val="2"/>
                <c:pt idx="0">
                  <c:v>1</c:v>
                </c:pt>
                <c:pt idx="1">
                  <c:v>1.3077319999999999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7-4691-B097-7F0F9F99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767999"/>
        <c:axId val="440773759"/>
      </c:lineChart>
      <c:catAx>
        <c:axId val="4407732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767519"/>
        <c:crosses val="autoZero"/>
        <c:auto val="0"/>
        <c:lblAlgn val="ctr"/>
        <c:lblOffset val="100"/>
        <c:noMultiLvlLbl val="0"/>
      </c:catAx>
      <c:valAx>
        <c:axId val="440767519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773279"/>
        <c:crosses val="autoZero"/>
        <c:crossBetween val="between"/>
        <c:majorUnit val="500"/>
      </c:valAx>
      <c:valAx>
        <c:axId val="44077375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767999"/>
        <c:crosses val="max"/>
        <c:crossBetween val="between"/>
      </c:valAx>
      <c:dateAx>
        <c:axId val="4407679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4077375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Maximum Trade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338167838750537E-2"/>
          <c:y val="3.9814644237401164E-2"/>
          <c:w val="0.95019635008966985"/>
          <c:h val="0.89405371549883306"/>
        </c:manualLayout>
      </c:layout>
      <c:lineChart>
        <c:grouping val="standard"/>
        <c:varyColors val="0"/>
        <c:ser>
          <c:idx val="0"/>
          <c:order val="0"/>
          <c:tx>
            <c:strRef>
              <c:f>'1xtrade'!$G$1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2987551867219917E-3"/>
                  <c:y val="7.30701237477901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B8-4948-A745-CF1A42A08B1E}"/>
                </c:ext>
              </c:extLst>
            </c:dLbl>
            <c:dLbl>
              <c:idx val="69"/>
              <c:layout>
                <c:manualLayout>
                  <c:x val="1.3668538085948602E-2"/>
                  <c:y val="-3.8888891647553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B8-4948-A745-CF1A42A08B1E}"/>
                </c:ext>
              </c:extLst>
            </c:dLbl>
            <c:dLbl>
              <c:idx val="91"/>
              <c:layout>
                <c:manualLayout>
                  <c:x val="3.0451866404715127E-2"/>
                  <c:y val="3.7713612256923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B8-4948-A745-CF1A42A08B1E}"/>
                </c:ext>
              </c:extLst>
            </c:dLbl>
            <c:dLbl>
              <c:idx val="108"/>
              <c:layout>
                <c:manualLayout>
                  <c:x val="8.2730500207638755E-3"/>
                  <c:y val="-4.09134111090943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394891944990179E-2"/>
                      <c:h val="3.1803228485655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9B8-4948-A745-CF1A42A08B1E}"/>
                </c:ext>
              </c:extLst>
            </c:dLbl>
            <c:dLbl>
              <c:idx val="149"/>
              <c:layout>
                <c:manualLayout>
                  <c:x val="2.3919941650410052E-2"/>
                  <c:y val="5.4654658531696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9B8-4948-A745-CF1A42A08B1E}"/>
                </c:ext>
              </c:extLst>
            </c:dLbl>
            <c:dLbl>
              <c:idx val="210"/>
              <c:layout>
                <c:manualLayout>
                  <c:x val="-3.4031565295647576E-2"/>
                  <c:y val="-1.6890480727888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B8-4948-A745-CF1A42A08B1E}"/>
                </c:ext>
              </c:extLst>
            </c:dLbl>
            <c:dLbl>
              <c:idx val="242"/>
              <c:layout>
                <c:manualLayout>
                  <c:x val="4.1365046535675838E-3"/>
                  <c:y val="8.76716938521018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B8-4948-A745-CF1A42A08B1E}"/>
                </c:ext>
              </c:extLst>
            </c:dLbl>
            <c:dLbl>
              <c:idx val="253"/>
              <c:layout>
                <c:manualLayout>
                  <c:x val="-4.356846514896117E-2"/>
                  <c:y val="-5.4654658531696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B8-4948-A745-CF1A42A08B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'1xtrade'!$F$2:$F$255</c:f>
              <c:numCache>
                <c:formatCode>d/mm/yyyy;@</c:formatCode>
                <c:ptCount val="254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45359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45376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45408</c:v>
                </c:pt>
                <c:pt idx="80">
                  <c:v>45411</c:v>
                </c:pt>
                <c:pt idx="81">
                  <c:v>45412</c:v>
                </c:pt>
                <c:pt idx="82">
                  <c:v>45413</c:v>
                </c:pt>
                <c:pt idx="83">
                  <c:v>45414</c:v>
                </c:pt>
                <c:pt idx="84">
                  <c:v>45415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45425</c:v>
                </c:pt>
                <c:pt idx="91">
                  <c:v>45426</c:v>
                </c:pt>
                <c:pt idx="92">
                  <c:v>45427</c:v>
                </c:pt>
                <c:pt idx="93">
                  <c:v>45428</c:v>
                </c:pt>
                <c:pt idx="94">
                  <c:v>45429</c:v>
                </c:pt>
                <c:pt idx="95">
                  <c:v>45432</c:v>
                </c:pt>
                <c:pt idx="96">
                  <c:v>45433</c:v>
                </c:pt>
                <c:pt idx="97">
                  <c:v>45434</c:v>
                </c:pt>
                <c:pt idx="98">
                  <c:v>45435</c:v>
                </c:pt>
                <c:pt idx="99">
                  <c:v>45436</c:v>
                </c:pt>
                <c:pt idx="100">
                  <c:v>45439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45454</c:v>
                </c:pt>
                <c:pt idx="111">
                  <c:v>45455</c:v>
                </c:pt>
                <c:pt idx="112">
                  <c:v>45456</c:v>
                </c:pt>
                <c:pt idx="113">
                  <c:v>45457</c:v>
                </c:pt>
                <c:pt idx="114">
                  <c:v>45460</c:v>
                </c:pt>
                <c:pt idx="115">
                  <c:v>45461</c:v>
                </c:pt>
                <c:pt idx="116">
                  <c:v>45462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45477</c:v>
                </c:pt>
                <c:pt idx="128">
                  <c:v>45478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45488</c:v>
                </c:pt>
                <c:pt idx="135">
                  <c:v>45489</c:v>
                </c:pt>
                <c:pt idx="136">
                  <c:v>45490</c:v>
                </c:pt>
                <c:pt idx="137">
                  <c:v>45491</c:v>
                </c:pt>
                <c:pt idx="138">
                  <c:v>45492</c:v>
                </c:pt>
                <c:pt idx="139">
                  <c:v>45495</c:v>
                </c:pt>
                <c:pt idx="140">
                  <c:v>45496</c:v>
                </c:pt>
                <c:pt idx="141">
                  <c:v>45497</c:v>
                </c:pt>
                <c:pt idx="142">
                  <c:v>45498</c:v>
                </c:pt>
                <c:pt idx="143">
                  <c:v>45499</c:v>
                </c:pt>
                <c:pt idx="144">
                  <c:v>45502</c:v>
                </c:pt>
                <c:pt idx="145">
                  <c:v>45503</c:v>
                </c:pt>
                <c:pt idx="146">
                  <c:v>45504</c:v>
                </c:pt>
                <c:pt idx="147">
                  <c:v>45505</c:v>
                </c:pt>
                <c:pt idx="148">
                  <c:v>45506</c:v>
                </c:pt>
                <c:pt idx="149">
                  <c:v>45509</c:v>
                </c:pt>
                <c:pt idx="150">
                  <c:v>45510</c:v>
                </c:pt>
                <c:pt idx="151">
                  <c:v>45511</c:v>
                </c:pt>
                <c:pt idx="152">
                  <c:v>45512</c:v>
                </c:pt>
                <c:pt idx="153">
                  <c:v>45513</c:v>
                </c:pt>
                <c:pt idx="154">
                  <c:v>45516</c:v>
                </c:pt>
                <c:pt idx="155">
                  <c:v>45517</c:v>
                </c:pt>
                <c:pt idx="156">
                  <c:v>45518</c:v>
                </c:pt>
                <c:pt idx="157">
                  <c:v>45519</c:v>
                </c:pt>
                <c:pt idx="158">
                  <c:v>45520</c:v>
                </c:pt>
                <c:pt idx="159">
                  <c:v>45523</c:v>
                </c:pt>
                <c:pt idx="160">
                  <c:v>45524</c:v>
                </c:pt>
                <c:pt idx="161">
                  <c:v>45525</c:v>
                </c:pt>
                <c:pt idx="162">
                  <c:v>45526</c:v>
                </c:pt>
                <c:pt idx="163">
                  <c:v>45527</c:v>
                </c:pt>
                <c:pt idx="164">
                  <c:v>45530</c:v>
                </c:pt>
                <c:pt idx="165">
                  <c:v>45531</c:v>
                </c:pt>
                <c:pt idx="166">
                  <c:v>45532</c:v>
                </c:pt>
                <c:pt idx="167">
                  <c:v>45533</c:v>
                </c:pt>
                <c:pt idx="168">
                  <c:v>45534</c:v>
                </c:pt>
                <c:pt idx="169">
                  <c:v>45537</c:v>
                </c:pt>
                <c:pt idx="170">
                  <c:v>45538</c:v>
                </c:pt>
                <c:pt idx="171">
                  <c:v>45539</c:v>
                </c:pt>
                <c:pt idx="172">
                  <c:v>45540</c:v>
                </c:pt>
                <c:pt idx="173">
                  <c:v>45541</c:v>
                </c:pt>
                <c:pt idx="174">
                  <c:v>45544</c:v>
                </c:pt>
                <c:pt idx="175">
                  <c:v>45545</c:v>
                </c:pt>
                <c:pt idx="176">
                  <c:v>45546</c:v>
                </c:pt>
                <c:pt idx="177">
                  <c:v>45547</c:v>
                </c:pt>
                <c:pt idx="178">
                  <c:v>45548</c:v>
                </c:pt>
                <c:pt idx="179">
                  <c:v>45551</c:v>
                </c:pt>
                <c:pt idx="180">
                  <c:v>45552</c:v>
                </c:pt>
                <c:pt idx="181">
                  <c:v>45553</c:v>
                </c:pt>
                <c:pt idx="182">
                  <c:v>45554</c:v>
                </c:pt>
                <c:pt idx="183">
                  <c:v>45555</c:v>
                </c:pt>
                <c:pt idx="184">
                  <c:v>45558</c:v>
                </c:pt>
                <c:pt idx="185">
                  <c:v>45559</c:v>
                </c:pt>
                <c:pt idx="186">
                  <c:v>45560</c:v>
                </c:pt>
                <c:pt idx="187">
                  <c:v>45561</c:v>
                </c:pt>
                <c:pt idx="188">
                  <c:v>45562</c:v>
                </c:pt>
                <c:pt idx="189">
                  <c:v>45565</c:v>
                </c:pt>
                <c:pt idx="190">
                  <c:v>45566</c:v>
                </c:pt>
                <c:pt idx="191">
                  <c:v>45567</c:v>
                </c:pt>
                <c:pt idx="192">
                  <c:v>45568</c:v>
                </c:pt>
                <c:pt idx="193">
                  <c:v>45569</c:v>
                </c:pt>
                <c:pt idx="194">
                  <c:v>45572</c:v>
                </c:pt>
                <c:pt idx="195">
                  <c:v>45573</c:v>
                </c:pt>
                <c:pt idx="196">
                  <c:v>45574</c:v>
                </c:pt>
                <c:pt idx="197">
                  <c:v>45575</c:v>
                </c:pt>
                <c:pt idx="198">
                  <c:v>45576</c:v>
                </c:pt>
                <c:pt idx="199">
                  <c:v>45579</c:v>
                </c:pt>
                <c:pt idx="200">
                  <c:v>45580</c:v>
                </c:pt>
                <c:pt idx="201">
                  <c:v>45581</c:v>
                </c:pt>
                <c:pt idx="202">
                  <c:v>45582</c:v>
                </c:pt>
                <c:pt idx="203">
                  <c:v>45583</c:v>
                </c:pt>
                <c:pt idx="204">
                  <c:v>45586</c:v>
                </c:pt>
                <c:pt idx="205">
                  <c:v>45587</c:v>
                </c:pt>
                <c:pt idx="206">
                  <c:v>45588</c:v>
                </c:pt>
                <c:pt idx="207">
                  <c:v>45589</c:v>
                </c:pt>
                <c:pt idx="208">
                  <c:v>45590</c:v>
                </c:pt>
                <c:pt idx="209">
                  <c:v>45593</c:v>
                </c:pt>
                <c:pt idx="210">
                  <c:v>45594</c:v>
                </c:pt>
                <c:pt idx="211">
                  <c:v>45595</c:v>
                </c:pt>
                <c:pt idx="212">
                  <c:v>45596</c:v>
                </c:pt>
                <c:pt idx="213">
                  <c:v>45597</c:v>
                </c:pt>
                <c:pt idx="214">
                  <c:v>45600</c:v>
                </c:pt>
                <c:pt idx="215">
                  <c:v>45601</c:v>
                </c:pt>
                <c:pt idx="216">
                  <c:v>45602</c:v>
                </c:pt>
                <c:pt idx="217">
                  <c:v>45603</c:v>
                </c:pt>
                <c:pt idx="218">
                  <c:v>45604</c:v>
                </c:pt>
                <c:pt idx="219">
                  <c:v>45607</c:v>
                </c:pt>
                <c:pt idx="220">
                  <c:v>45608</c:v>
                </c:pt>
                <c:pt idx="221">
                  <c:v>45609</c:v>
                </c:pt>
                <c:pt idx="222">
                  <c:v>45610</c:v>
                </c:pt>
                <c:pt idx="223">
                  <c:v>45611</c:v>
                </c:pt>
                <c:pt idx="224">
                  <c:v>45614</c:v>
                </c:pt>
                <c:pt idx="225">
                  <c:v>45615</c:v>
                </c:pt>
                <c:pt idx="226">
                  <c:v>45616</c:v>
                </c:pt>
                <c:pt idx="227">
                  <c:v>45617</c:v>
                </c:pt>
                <c:pt idx="228">
                  <c:v>45618</c:v>
                </c:pt>
                <c:pt idx="229">
                  <c:v>45621</c:v>
                </c:pt>
                <c:pt idx="230">
                  <c:v>45622</c:v>
                </c:pt>
                <c:pt idx="231">
                  <c:v>45623</c:v>
                </c:pt>
                <c:pt idx="232">
                  <c:v>45624</c:v>
                </c:pt>
                <c:pt idx="233">
                  <c:v>45625</c:v>
                </c:pt>
                <c:pt idx="234">
                  <c:v>45628</c:v>
                </c:pt>
                <c:pt idx="235">
                  <c:v>45629</c:v>
                </c:pt>
                <c:pt idx="236">
                  <c:v>45630</c:v>
                </c:pt>
                <c:pt idx="237">
                  <c:v>45631</c:v>
                </c:pt>
                <c:pt idx="238">
                  <c:v>45632</c:v>
                </c:pt>
                <c:pt idx="239">
                  <c:v>45635</c:v>
                </c:pt>
                <c:pt idx="240">
                  <c:v>45636</c:v>
                </c:pt>
                <c:pt idx="241">
                  <c:v>45637</c:v>
                </c:pt>
                <c:pt idx="242">
                  <c:v>45638</c:v>
                </c:pt>
                <c:pt idx="243">
                  <c:v>45639</c:v>
                </c:pt>
                <c:pt idx="244">
                  <c:v>45642</c:v>
                </c:pt>
                <c:pt idx="245">
                  <c:v>45643</c:v>
                </c:pt>
                <c:pt idx="246">
                  <c:v>45644</c:v>
                </c:pt>
                <c:pt idx="247">
                  <c:v>45645</c:v>
                </c:pt>
                <c:pt idx="248">
                  <c:v>45646</c:v>
                </c:pt>
                <c:pt idx="249">
                  <c:v>45649</c:v>
                </c:pt>
                <c:pt idx="250">
                  <c:v>45650</c:v>
                </c:pt>
                <c:pt idx="251">
                  <c:v>45653</c:v>
                </c:pt>
                <c:pt idx="252">
                  <c:v>45656</c:v>
                </c:pt>
                <c:pt idx="253">
                  <c:v>45657</c:v>
                </c:pt>
              </c:numCache>
            </c:numRef>
          </c:cat>
          <c:val>
            <c:numRef>
              <c:f>'1xtrade'!$G$2:$G$255</c:f>
              <c:numCache>
                <c:formatCode>"$"#,##0.00</c:formatCode>
                <c:ptCount val="254"/>
                <c:pt idx="0">
                  <c:v>9.2799999999999994</c:v>
                </c:pt>
                <c:pt idx="1">
                  <c:v>9.3000000000000007</c:v>
                </c:pt>
                <c:pt idx="2">
                  <c:v>9.69</c:v>
                </c:pt>
                <c:pt idx="3">
                  <c:v>9.34</c:v>
                </c:pt>
                <c:pt idx="4">
                  <c:v>9.5299999999999994</c:v>
                </c:pt>
                <c:pt idx="5">
                  <c:v>9.51</c:v>
                </c:pt>
                <c:pt idx="6">
                  <c:v>9.4700000000000006</c:v>
                </c:pt>
                <c:pt idx="7">
                  <c:v>9.52</c:v>
                </c:pt>
                <c:pt idx="8">
                  <c:v>9.5500000000000007</c:v>
                </c:pt>
                <c:pt idx="9">
                  <c:v>9.4499999999999993</c:v>
                </c:pt>
                <c:pt idx="10">
                  <c:v>9.48</c:v>
                </c:pt>
                <c:pt idx="11">
                  <c:v>9.36</c:v>
                </c:pt>
                <c:pt idx="12">
                  <c:v>9.56</c:v>
                </c:pt>
                <c:pt idx="13">
                  <c:v>9.4</c:v>
                </c:pt>
                <c:pt idx="14">
                  <c:v>9.5299999999999994</c:v>
                </c:pt>
                <c:pt idx="15">
                  <c:v>9.65</c:v>
                </c:pt>
                <c:pt idx="16">
                  <c:v>9.6</c:v>
                </c:pt>
                <c:pt idx="17">
                  <c:v>9.64</c:v>
                </c:pt>
                <c:pt idx="18">
                  <c:v>10.09</c:v>
                </c:pt>
                <c:pt idx="19">
                  <c:v>9.9700000000000006</c:v>
                </c:pt>
                <c:pt idx="20">
                  <c:v>9.8800000000000008</c:v>
                </c:pt>
                <c:pt idx="21">
                  <c:v>9.9499999999999993</c:v>
                </c:pt>
                <c:pt idx="22">
                  <c:v>9.8699999999999992</c:v>
                </c:pt>
                <c:pt idx="23">
                  <c:v>9.92</c:v>
                </c:pt>
                <c:pt idx="24">
                  <c:v>9.92</c:v>
                </c:pt>
                <c:pt idx="25">
                  <c:v>9.93</c:v>
                </c:pt>
                <c:pt idx="26">
                  <c:v>9.81</c:v>
                </c:pt>
                <c:pt idx="27">
                  <c:v>10.11</c:v>
                </c:pt>
                <c:pt idx="28">
                  <c:v>9.8699999999999992</c:v>
                </c:pt>
                <c:pt idx="29">
                  <c:v>9.7799999999999994</c:v>
                </c:pt>
                <c:pt idx="30">
                  <c:v>9.6300000000000008</c:v>
                </c:pt>
                <c:pt idx="31">
                  <c:v>9.6300000000000008</c:v>
                </c:pt>
                <c:pt idx="32">
                  <c:v>9.8000000000000007</c:v>
                </c:pt>
                <c:pt idx="33">
                  <c:v>9.5500000000000007</c:v>
                </c:pt>
                <c:pt idx="34">
                  <c:v>9.7200000000000006</c:v>
                </c:pt>
                <c:pt idx="35">
                  <c:v>9.5</c:v>
                </c:pt>
                <c:pt idx="36">
                  <c:v>9.86</c:v>
                </c:pt>
                <c:pt idx="37">
                  <c:v>9.67</c:v>
                </c:pt>
                <c:pt idx="38">
                  <c:v>9.6300000000000008</c:v>
                </c:pt>
                <c:pt idx="39">
                  <c:v>9.52</c:v>
                </c:pt>
                <c:pt idx="40">
                  <c:v>9.66</c:v>
                </c:pt>
                <c:pt idx="41">
                  <c:v>9.7200000000000006</c:v>
                </c:pt>
                <c:pt idx="42">
                  <c:v>9.6199999999999992</c:v>
                </c:pt>
                <c:pt idx="43">
                  <c:v>9.7100000000000009</c:v>
                </c:pt>
                <c:pt idx="44">
                  <c:v>9.58</c:v>
                </c:pt>
                <c:pt idx="45">
                  <c:v>9.9</c:v>
                </c:pt>
                <c:pt idx="46">
                  <c:v>9.81</c:v>
                </c:pt>
                <c:pt idx="47">
                  <c:v>9.92</c:v>
                </c:pt>
                <c:pt idx="48">
                  <c:v>9.9600000000000009</c:v>
                </c:pt>
                <c:pt idx="49">
                  <c:v>9.75</c:v>
                </c:pt>
                <c:pt idx="50">
                  <c:v>9.9700000000000006</c:v>
                </c:pt>
                <c:pt idx="51">
                  <c:v>9.9600000000000009</c:v>
                </c:pt>
                <c:pt idx="52">
                  <c:v>9.7100000000000009</c:v>
                </c:pt>
                <c:pt idx="53">
                  <c:v>9.81</c:v>
                </c:pt>
                <c:pt idx="54">
                  <c:v>9.75</c:v>
                </c:pt>
                <c:pt idx="55">
                  <c:v>9.8800000000000008</c:v>
                </c:pt>
                <c:pt idx="56">
                  <c:v>9.77</c:v>
                </c:pt>
                <c:pt idx="57">
                  <c:v>9.84</c:v>
                </c:pt>
                <c:pt idx="58">
                  <c:v>9.85</c:v>
                </c:pt>
                <c:pt idx="59">
                  <c:v>10.01</c:v>
                </c:pt>
                <c:pt idx="60">
                  <c:v>9.8699999999999992</c:v>
                </c:pt>
                <c:pt idx="61">
                  <c:v>9.92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10.039999999999999</c:v>
                </c:pt>
                <c:pt idx="65">
                  <c:v>9.98</c:v>
                </c:pt>
                <c:pt idx="66">
                  <c:v>10.050000000000001</c:v>
                </c:pt>
                <c:pt idx="67">
                  <c:v>9.9700000000000006</c:v>
                </c:pt>
                <c:pt idx="68">
                  <c:v>10.050000000000001</c:v>
                </c:pt>
                <c:pt idx="69">
                  <c:v>10.199999999999999</c:v>
                </c:pt>
                <c:pt idx="70">
                  <c:v>10.130000000000001</c:v>
                </c:pt>
                <c:pt idx="71">
                  <c:v>9.98</c:v>
                </c:pt>
                <c:pt idx="72">
                  <c:v>10</c:v>
                </c:pt>
                <c:pt idx="73">
                  <c:v>10.16</c:v>
                </c:pt>
                <c:pt idx="74">
                  <c:v>9.92</c:v>
                </c:pt>
                <c:pt idx="75">
                  <c:v>9.99</c:v>
                </c:pt>
                <c:pt idx="76">
                  <c:v>9.9499999999999993</c:v>
                </c:pt>
                <c:pt idx="77">
                  <c:v>9.93</c:v>
                </c:pt>
                <c:pt idx="78">
                  <c:v>10.029999999999999</c:v>
                </c:pt>
                <c:pt idx="79">
                  <c:v>9.92</c:v>
                </c:pt>
                <c:pt idx="80">
                  <c:v>9.9499999999999993</c:v>
                </c:pt>
                <c:pt idx="81">
                  <c:v>10</c:v>
                </c:pt>
                <c:pt idx="82">
                  <c:v>9.9700000000000006</c:v>
                </c:pt>
                <c:pt idx="83">
                  <c:v>10.02</c:v>
                </c:pt>
                <c:pt idx="84">
                  <c:v>9.9499999999999993</c:v>
                </c:pt>
                <c:pt idx="85">
                  <c:v>9.68</c:v>
                </c:pt>
                <c:pt idx="86">
                  <c:v>9.73</c:v>
                </c:pt>
                <c:pt idx="87">
                  <c:v>9.89</c:v>
                </c:pt>
                <c:pt idx="88">
                  <c:v>9.7799999999999994</c:v>
                </c:pt>
                <c:pt idx="89">
                  <c:v>9.7100000000000009</c:v>
                </c:pt>
                <c:pt idx="90">
                  <c:v>9.6300000000000008</c:v>
                </c:pt>
                <c:pt idx="91">
                  <c:v>9.48</c:v>
                </c:pt>
                <c:pt idx="92">
                  <c:v>9.5500000000000007</c:v>
                </c:pt>
                <c:pt idx="93">
                  <c:v>9.84</c:v>
                </c:pt>
                <c:pt idx="94">
                  <c:v>9.94</c:v>
                </c:pt>
                <c:pt idx="95">
                  <c:v>10.35</c:v>
                </c:pt>
                <c:pt idx="96">
                  <c:v>9.75</c:v>
                </c:pt>
                <c:pt idx="97">
                  <c:v>9.8800000000000008</c:v>
                </c:pt>
                <c:pt idx="98">
                  <c:v>10.1</c:v>
                </c:pt>
                <c:pt idx="99">
                  <c:v>10.050000000000001</c:v>
                </c:pt>
                <c:pt idx="100">
                  <c:v>10.06</c:v>
                </c:pt>
                <c:pt idx="101">
                  <c:v>10.08</c:v>
                </c:pt>
                <c:pt idx="102">
                  <c:v>9.9499999999999993</c:v>
                </c:pt>
                <c:pt idx="103">
                  <c:v>9.7799999999999994</c:v>
                </c:pt>
                <c:pt idx="104">
                  <c:v>9.85</c:v>
                </c:pt>
                <c:pt idx="105">
                  <c:v>9.9600000000000009</c:v>
                </c:pt>
                <c:pt idx="106">
                  <c:v>10.1</c:v>
                </c:pt>
                <c:pt idx="107">
                  <c:v>10.31</c:v>
                </c:pt>
                <c:pt idx="108">
                  <c:v>10.61</c:v>
                </c:pt>
                <c:pt idx="109">
                  <c:v>10.35</c:v>
                </c:pt>
                <c:pt idx="110">
                  <c:v>10</c:v>
                </c:pt>
                <c:pt idx="111">
                  <c:v>9.92</c:v>
                </c:pt>
                <c:pt idx="112">
                  <c:v>9.8800000000000008</c:v>
                </c:pt>
                <c:pt idx="113">
                  <c:v>10.06</c:v>
                </c:pt>
                <c:pt idx="114">
                  <c:v>10.06</c:v>
                </c:pt>
                <c:pt idx="115">
                  <c:v>10.55</c:v>
                </c:pt>
                <c:pt idx="116">
                  <c:v>10.25</c:v>
                </c:pt>
                <c:pt idx="117">
                  <c:v>10.26</c:v>
                </c:pt>
                <c:pt idx="118">
                  <c:v>10.029999999999999</c:v>
                </c:pt>
                <c:pt idx="119">
                  <c:v>10.07</c:v>
                </c:pt>
                <c:pt idx="120">
                  <c:v>10.11</c:v>
                </c:pt>
                <c:pt idx="121">
                  <c:v>10.220000000000001</c:v>
                </c:pt>
                <c:pt idx="122">
                  <c:v>10.18</c:v>
                </c:pt>
                <c:pt idx="123">
                  <c:v>10.34</c:v>
                </c:pt>
                <c:pt idx="124">
                  <c:v>10.18</c:v>
                </c:pt>
                <c:pt idx="125">
                  <c:v>10.19</c:v>
                </c:pt>
                <c:pt idx="126">
                  <c:v>10.210000000000001</c:v>
                </c:pt>
                <c:pt idx="127">
                  <c:v>10.1</c:v>
                </c:pt>
                <c:pt idx="128">
                  <c:v>10.11</c:v>
                </c:pt>
                <c:pt idx="129">
                  <c:v>10.32</c:v>
                </c:pt>
                <c:pt idx="130">
                  <c:v>10.130000000000001</c:v>
                </c:pt>
                <c:pt idx="131">
                  <c:v>10.06</c:v>
                </c:pt>
                <c:pt idx="132">
                  <c:v>10.08</c:v>
                </c:pt>
                <c:pt idx="133">
                  <c:v>9.8800000000000008</c:v>
                </c:pt>
                <c:pt idx="134">
                  <c:v>9.69</c:v>
                </c:pt>
                <c:pt idx="135">
                  <c:v>9.56</c:v>
                </c:pt>
                <c:pt idx="136">
                  <c:v>9.73</c:v>
                </c:pt>
                <c:pt idx="137">
                  <c:v>9.86</c:v>
                </c:pt>
                <c:pt idx="138">
                  <c:v>9.74</c:v>
                </c:pt>
                <c:pt idx="139">
                  <c:v>9.6999999999999993</c:v>
                </c:pt>
                <c:pt idx="140">
                  <c:v>9.81</c:v>
                </c:pt>
                <c:pt idx="141">
                  <c:v>10</c:v>
                </c:pt>
                <c:pt idx="142">
                  <c:v>9.85</c:v>
                </c:pt>
                <c:pt idx="143">
                  <c:v>9.7200000000000006</c:v>
                </c:pt>
                <c:pt idx="144">
                  <c:v>9.76</c:v>
                </c:pt>
                <c:pt idx="145">
                  <c:v>9.76</c:v>
                </c:pt>
                <c:pt idx="146">
                  <c:v>9.82</c:v>
                </c:pt>
                <c:pt idx="147">
                  <c:v>9.85</c:v>
                </c:pt>
                <c:pt idx="148">
                  <c:v>9.9</c:v>
                </c:pt>
                <c:pt idx="149">
                  <c:v>9.5399999999999991</c:v>
                </c:pt>
                <c:pt idx="150">
                  <c:v>9.5500000000000007</c:v>
                </c:pt>
                <c:pt idx="151">
                  <c:v>9.7200000000000006</c:v>
                </c:pt>
                <c:pt idx="152">
                  <c:v>9.7200000000000006</c:v>
                </c:pt>
                <c:pt idx="153">
                  <c:v>9.77</c:v>
                </c:pt>
                <c:pt idx="154">
                  <c:v>9.65</c:v>
                </c:pt>
                <c:pt idx="155">
                  <c:v>9.68</c:v>
                </c:pt>
                <c:pt idx="156">
                  <c:v>9.59</c:v>
                </c:pt>
                <c:pt idx="157">
                  <c:v>9.81</c:v>
                </c:pt>
                <c:pt idx="158">
                  <c:v>9.92</c:v>
                </c:pt>
                <c:pt idx="159">
                  <c:v>10</c:v>
                </c:pt>
                <c:pt idx="160">
                  <c:v>10.02</c:v>
                </c:pt>
                <c:pt idx="161">
                  <c:v>10.07</c:v>
                </c:pt>
                <c:pt idx="162">
                  <c:v>9.9600000000000009</c:v>
                </c:pt>
                <c:pt idx="163">
                  <c:v>10.14</c:v>
                </c:pt>
                <c:pt idx="164">
                  <c:v>10.029999999999999</c:v>
                </c:pt>
                <c:pt idx="165">
                  <c:v>10.02</c:v>
                </c:pt>
                <c:pt idx="166">
                  <c:v>10.07</c:v>
                </c:pt>
                <c:pt idx="167">
                  <c:v>10.01</c:v>
                </c:pt>
                <c:pt idx="168">
                  <c:v>10.14</c:v>
                </c:pt>
                <c:pt idx="169">
                  <c:v>10.28</c:v>
                </c:pt>
                <c:pt idx="170">
                  <c:v>10.27</c:v>
                </c:pt>
                <c:pt idx="171">
                  <c:v>10.5</c:v>
                </c:pt>
                <c:pt idx="172">
                  <c:v>10.9</c:v>
                </c:pt>
                <c:pt idx="173">
                  <c:v>11.08</c:v>
                </c:pt>
                <c:pt idx="174">
                  <c:v>11.1</c:v>
                </c:pt>
                <c:pt idx="175">
                  <c:v>11.08</c:v>
                </c:pt>
                <c:pt idx="176">
                  <c:v>11.26</c:v>
                </c:pt>
                <c:pt idx="177">
                  <c:v>11.4</c:v>
                </c:pt>
                <c:pt idx="178">
                  <c:v>11.26</c:v>
                </c:pt>
                <c:pt idx="179">
                  <c:v>11.11</c:v>
                </c:pt>
                <c:pt idx="180">
                  <c:v>11.24</c:v>
                </c:pt>
                <c:pt idx="181">
                  <c:v>11.15</c:v>
                </c:pt>
                <c:pt idx="182">
                  <c:v>11.39</c:v>
                </c:pt>
                <c:pt idx="183">
                  <c:v>11.27</c:v>
                </c:pt>
                <c:pt idx="184">
                  <c:v>11.33</c:v>
                </c:pt>
                <c:pt idx="185">
                  <c:v>11.17</c:v>
                </c:pt>
                <c:pt idx="186">
                  <c:v>11.14</c:v>
                </c:pt>
                <c:pt idx="187">
                  <c:v>11.31</c:v>
                </c:pt>
                <c:pt idx="188">
                  <c:v>11.42</c:v>
                </c:pt>
                <c:pt idx="189">
                  <c:v>11.41</c:v>
                </c:pt>
                <c:pt idx="190">
                  <c:v>11.17</c:v>
                </c:pt>
                <c:pt idx="191">
                  <c:v>11.18</c:v>
                </c:pt>
                <c:pt idx="192">
                  <c:v>11.08</c:v>
                </c:pt>
                <c:pt idx="193">
                  <c:v>11.08</c:v>
                </c:pt>
                <c:pt idx="194">
                  <c:v>11.16</c:v>
                </c:pt>
                <c:pt idx="195">
                  <c:v>11.04</c:v>
                </c:pt>
                <c:pt idx="196">
                  <c:v>11.17</c:v>
                </c:pt>
                <c:pt idx="197">
                  <c:v>10.9</c:v>
                </c:pt>
                <c:pt idx="198">
                  <c:v>11.16</c:v>
                </c:pt>
                <c:pt idx="199">
                  <c:v>11.06</c:v>
                </c:pt>
                <c:pt idx="200">
                  <c:v>11.12</c:v>
                </c:pt>
                <c:pt idx="201">
                  <c:v>10.89</c:v>
                </c:pt>
                <c:pt idx="202">
                  <c:v>11.07</c:v>
                </c:pt>
                <c:pt idx="203">
                  <c:v>11.12</c:v>
                </c:pt>
                <c:pt idx="204">
                  <c:v>11.27</c:v>
                </c:pt>
                <c:pt idx="205">
                  <c:v>11.46</c:v>
                </c:pt>
                <c:pt idx="206">
                  <c:v>11.62</c:v>
                </c:pt>
                <c:pt idx="207">
                  <c:v>11.78</c:v>
                </c:pt>
                <c:pt idx="208">
                  <c:v>11.66</c:v>
                </c:pt>
                <c:pt idx="209">
                  <c:v>11.95</c:v>
                </c:pt>
                <c:pt idx="210">
                  <c:v>11.97</c:v>
                </c:pt>
                <c:pt idx="211">
                  <c:v>11.67</c:v>
                </c:pt>
                <c:pt idx="212">
                  <c:v>11.5</c:v>
                </c:pt>
                <c:pt idx="213">
                  <c:v>11.61</c:v>
                </c:pt>
                <c:pt idx="214">
                  <c:v>11.58</c:v>
                </c:pt>
                <c:pt idx="215">
                  <c:v>11.46</c:v>
                </c:pt>
                <c:pt idx="216">
                  <c:v>11.66</c:v>
                </c:pt>
                <c:pt idx="217">
                  <c:v>11.4</c:v>
                </c:pt>
                <c:pt idx="218">
                  <c:v>11.3</c:v>
                </c:pt>
                <c:pt idx="219">
                  <c:v>11.04</c:v>
                </c:pt>
                <c:pt idx="220">
                  <c:v>11.13</c:v>
                </c:pt>
                <c:pt idx="221">
                  <c:v>11.27</c:v>
                </c:pt>
                <c:pt idx="222">
                  <c:v>11.29</c:v>
                </c:pt>
                <c:pt idx="223">
                  <c:v>11.41</c:v>
                </c:pt>
                <c:pt idx="224">
                  <c:v>11.25</c:v>
                </c:pt>
                <c:pt idx="225">
                  <c:v>11.01</c:v>
                </c:pt>
                <c:pt idx="226">
                  <c:v>11.08</c:v>
                </c:pt>
                <c:pt idx="227">
                  <c:v>11.19</c:v>
                </c:pt>
                <c:pt idx="228">
                  <c:v>11.2</c:v>
                </c:pt>
                <c:pt idx="229">
                  <c:v>11.42</c:v>
                </c:pt>
                <c:pt idx="230">
                  <c:v>11.4</c:v>
                </c:pt>
                <c:pt idx="231">
                  <c:v>11.6</c:v>
                </c:pt>
                <c:pt idx="232">
                  <c:v>11.57</c:v>
                </c:pt>
                <c:pt idx="233">
                  <c:v>11.63</c:v>
                </c:pt>
                <c:pt idx="234">
                  <c:v>11.61</c:v>
                </c:pt>
                <c:pt idx="235">
                  <c:v>11.34</c:v>
                </c:pt>
                <c:pt idx="236">
                  <c:v>11.36</c:v>
                </c:pt>
                <c:pt idx="237">
                  <c:v>11.58</c:v>
                </c:pt>
                <c:pt idx="238">
                  <c:v>11.36</c:v>
                </c:pt>
                <c:pt idx="239">
                  <c:v>11.44</c:v>
                </c:pt>
                <c:pt idx="240">
                  <c:v>11.09</c:v>
                </c:pt>
                <c:pt idx="241">
                  <c:v>10.93</c:v>
                </c:pt>
                <c:pt idx="242">
                  <c:v>10.87</c:v>
                </c:pt>
                <c:pt idx="243">
                  <c:v>10.97</c:v>
                </c:pt>
                <c:pt idx="244">
                  <c:v>10.98</c:v>
                </c:pt>
                <c:pt idx="245">
                  <c:v>11.3</c:v>
                </c:pt>
                <c:pt idx="246">
                  <c:v>11.26</c:v>
                </c:pt>
                <c:pt idx="247">
                  <c:v>10.96</c:v>
                </c:pt>
                <c:pt idx="248">
                  <c:v>11.35</c:v>
                </c:pt>
                <c:pt idx="249">
                  <c:v>11.39</c:v>
                </c:pt>
                <c:pt idx="250">
                  <c:v>11.56</c:v>
                </c:pt>
                <c:pt idx="251">
                  <c:v>11.55</c:v>
                </c:pt>
                <c:pt idx="252">
                  <c:v>11.57</c:v>
                </c:pt>
                <c:pt idx="25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B8-4948-A745-CF1A42A08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361616"/>
        <c:axId val="796519792"/>
      </c:lineChart>
      <c:dateAx>
        <c:axId val="796361616"/>
        <c:scaling>
          <c:orientation val="minMax"/>
        </c:scaling>
        <c:delete val="0"/>
        <c:axPos val="b"/>
        <c:numFmt formatCode="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519792"/>
        <c:crosses val="autoZero"/>
        <c:auto val="1"/>
        <c:lblOffset val="100"/>
        <c:baseTimeUnit val="days"/>
      </c:dateAx>
      <c:valAx>
        <c:axId val="796519792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6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4x</a:t>
            </a:r>
            <a:r>
              <a:rPr lang="en-US" baseline="0"/>
              <a:t> Trade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701601332257079E-2"/>
          <c:y val="0.1044861966592313"/>
          <c:w val="0.85521977998596688"/>
          <c:h val="0.729323603473150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Sheet2!$H$2:$H$12</c:f>
              <c:numCache>
                <c:formatCode>dd\.mm\.yyyy;@</c:formatCode>
                <c:ptCount val="11"/>
                <c:pt idx="0">
                  <c:v>45293</c:v>
                </c:pt>
                <c:pt idx="1">
                  <c:v>45393</c:v>
                </c:pt>
                <c:pt idx="3">
                  <c:v>45426</c:v>
                </c:pt>
                <c:pt idx="4">
                  <c:v>45449</c:v>
                </c:pt>
                <c:pt idx="6">
                  <c:v>45509</c:v>
                </c:pt>
                <c:pt idx="7">
                  <c:v>45594</c:v>
                </c:pt>
                <c:pt idx="9">
                  <c:v>45638</c:v>
                </c:pt>
                <c:pt idx="10">
                  <c:v>45657</c:v>
                </c:pt>
              </c:numCache>
            </c:numRef>
          </c:cat>
          <c:val>
            <c:numRef>
              <c:f>Sheet2!$I$2:$I$12</c:f>
              <c:numCache>
                <c:formatCode>"$"#,##0.00</c:formatCode>
                <c:ptCount val="11"/>
                <c:pt idx="0">
                  <c:v>9.2799999999999994</c:v>
                </c:pt>
                <c:pt idx="1">
                  <c:v>10.199999999999999</c:v>
                </c:pt>
                <c:pt idx="3">
                  <c:v>9.48</c:v>
                </c:pt>
                <c:pt idx="4">
                  <c:v>10.61</c:v>
                </c:pt>
                <c:pt idx="6">
                  <c:v>9.5399999999999991</c:v>
                </c:pt>
                <c:pt idx="7">
                  <c:v>11.97</c:v>
                </c:pt>
                <c:pt idx="9">
                  <c:v>10.87</c:v>
                </c:pt>
                <c:pt idx="10">
                  <c:v>11.57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0-4658-9C04-D56C18BD0B67}"/>
            </c:ext>
          </c:extLst>
        </c:ser>
        <c:ser>
          <c:idx val="1"/>
          <c:order val="1"/>
          <c:tx>
            <c:strRef>
              <c:f>Sheet2!$N$1</c:f>
              <c:strCache>
                <c:ptCount val="1"/>
                <c:pt idx="0">
                  <c:v>Total values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5693965206973436E-2"/>
                  <c:y val="-3.101848276971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D95-4D99-ACE0-8010E7BB83F6}"/>
                </c:ext>
              </c:extLst>
            </c:dLbl>
            <c:dLbl>
              <c:idx val="1"/>
              <c:layout>
                <c:manualLayout>
                  <c:x val="9.1548130374011702E-3"/>
                  <c:y val="-2.38603713613172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D95-4D99-ACE0-8010E7BB83F6}"/>
                </c:ext>
              </c:extLst>
            </c:dLbl>
            <c:dLbl>
              <c:idx val="3"/>
              <c:layout>
                <c:manualLayout>
                  <c:x val="-1.1770473905230075E-2"/>
                  <c:y val="-2.1474334225185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95-4D99-ACE0-8010E7BB83F6}"/>
                </c:ext>
              </c:extLst>
            </c:dLbl>
            <c:dLbl>
              <c:idx val="4"/>
              <c:layout>
                <c:manualLayout>
                  <c:x val="3.9234913017433589E-3"/>
                  <c:y val="-1.4316222816790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95-4D99-ACE0-8010E7BB83F6}"/>
                </c:ext>
              </c:extLst>
            </c:dLbl>
            <c:dLbl>
              <c:idx val="6"/>
              <c:layout>
                <c:manualLayout>
                  <c:x val="-2.6156608678289058E-2"/>
                  <c:y val="-1.9088297089053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D95-4D99-ACE0-8010E7BB83F6}"/>
                </c:ext>
              </c:extLst>
            </c:dLbl>
            <c:dLbl>
              <c:idx val="10"/>
              <c:layout>
                <c:manualLayout>
                  <c:x val="0"/>
                  <c:y val="1.19301856806584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D95-4D99-ACE0-8010E7BB83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Sheet2!$H$2:$H$12</c:f>
              <c:numCache>
                <c:formatCode>dd\.mm\.yyyy;@</c:formatCode>
                <c:ptCount val="11"/>
                <c:pt idx="0">
                  <c:v>45293</c:v>
                </c:pt>
                <c:pt idx="1">
                  <c:v>45393</c:v>
                </c:pt>
                <c:pt idx="3">
                  <c:v>45426</c:v>
                </c:pt>
                <c:pt idx="4">
                  <c:v>45449</c:v>
                </c:pt>
                <c:pt idx="6">
                  <c:v>45509</c:v>
                </c:pt>
                <c:pt idx="7">
                  <c:v>45594</c:v>
                </c:pt>
                <c:pt idx="9">
                  <c:v>45638</c:v>
                </c:pt>
                <c:pt idx="10">
                  <c:v>45657</c:v>
                </c:pt>
              </c:numCache>
            </c:numRef>
          </c:cat>
          <c:val>
            <c:numRef>
              <c:f>Sheet2!$N$2:$N$12</c:f>
              <c:numCache>
                <c:formatCode>"$"#,##0.00</c:formatCode>
                <c:ptCount val="11"/>
                <c:pt idx="0">
                  <c:v>1000</c:v>
                </c:pt>
                <c:pt idx="1">
                  <c:v>1118.77</c:v>
                </c:pt>
                <c:pt idx="3">
                  <c:v>1118.77</c:v>
                </c:pt>
                <c:pt idx="4">
                  <c:v>1274.53</c:v>
                </c:pt>
                <c:pt idx="6">
                  <c:v>1274.53</c:v>
                </c:pt>
                <c:pt idx="7">
                  <c:v>1622.99</c:v>
                </c:pt>
                <c:pt idx="9">
                  <c:v>1622.99</c:v>
                </c:pt>
                <c:pt idx="10">
                  <c:v>1755.6000000000001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70-4658-9C04-D56C18BD0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454367"/>
        <c:axId val="707449087"/>
      </c:barChart>
      <c:lineChart>
        <c:grouping val="standard"/>
        <c:varyColors val="0"/>
        <c:ser>
          <c:idx val="2"/>
          <c:order val="2"/>
          <c:tx>
            <c:strRef>
              <c:f>Sheet2!$O$1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9315012997466022E-2"/>
                  <c:y val="4.53347055865020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95-4D99-ACE0-8010E7BB83F6}"/>
                </c:ext>
              </c:extLst>
            </c:dLbl>
            <c:dLbl>
              <c:idx val="1"/>
              <c:layout>
                <c:manualLayout>
                  <c:x val="1.1770473905230099E-2"/>
                  <c:y val="-5.01067798587653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95-4D99-ACE0-8010E7BB83F6}"/>
                </c:ext>
              </c:extLst>
            </c:dLbl>
            <c:dLbl>
              <c:idx val="3"/>
              <c:layout>
                <c:manualLayout>
                  <c:x val="-7.4546334733123859E-2"/>
                  <c:y val="4.7720742722633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95-4D99-ACE0-8010E7BB83F6}"/>
                </c:ext>
              </c:extLst>
            </c:dLbl>
            <c:dLbl>
              <c:idx val="4"/>
              <c:layout>
                <c:manualLayout>
                  <c:x val="2.354094781046015E-2"/>
                  <c:y val="-5.7264891267160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95-4D99-ACE0-8010E7BB83F6}"/>
                </c:ext>
              </c:extLst>
            </c:dLbl>
            <c:dLbl>
              <c:idx val="6"/>
              <c:layout>
                <c:manualLayout>
                  <c:x val="-6.9315012997466091E-2"/>
                  <c:y val="3.57905570419752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95-4D99-ACE0-8010E7BB83F6}"/>
                </c:ext>
              </c:extLst>
            </c:dLbl>
            <c:dLbl>
              <c:idx val="7"/>
              <c:layout>
                <c:manualLayout>
                  <c:x val="1.9617456508716696E-2"/>
                  <c:y val="1.19301856806584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95-4D99-ACE0-8010E7BB83F6}"/>
                </c:ext>
              </c:extLst>
            </c:dLbl>
            <c:dLbl>
              <c:idx val="9"/>
              <c:layout>
                <c:manualLayout>
                  <c:x val="-7.1930673865295003E-2"/>
                  <c:y val="-7.1581114083950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95-4D99-ACE0-8010E7BB83F6}"/>
                </c:ext>
              </c:extLst>
            </c:dLbl>
            <c:dLbl>
              <c:idx val="10"/>
              <c:layout>
                <c:manualLayout>
                  <c:x val="-3.5311421715690225E-2"/>
                  <c:y val="-8.58973369007406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95-4D99-ACE0-8010E7BB83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Sheet2!$H$2:$H$12</c:f>
              <c:numCache>
                <c:formatCode>dd\.mm\.yyyy;@</c:formatCode>
                <c:ptCount val="11"/>
                <c:pt idx="0">
                  <c:v>45293</c:v>
                </c:pt>
                <c:pt idx="1">
                  <c:v>45393</c:v>
                </c:pt>
                <c:pt idx="3">
                  <c:v>45426</c:v>
                </c:pt>
                <c:pt idx="4">
                  <c:v>45449</c:v>
                </c:pt>
                <c:pt idx="6">
                  <c:v>45509</c:v>
                </c:pt>
                <c:pt idx="7">
                  <c:v>45594</c:v>
                </c:pt>
                <c:pt idx="9">
                  <c:v>45638</c:v>
                </c:pt>
                <c:pt idx="10">
                  <c:v>45657</c:v>
                </c:pt>
              </c:numCache>
            </c:numRef>
          </c:cat>
          <c:val>
            <c:numRef>
              <c:f>Sheet2!$O$2:$O$12</c:f>
              <c:numCache>
                <c:formatCode>0.00%</c:formatCode>
                <c:ptCount val="11"/>
                <c:pt idx="0">
                  <c:v>1</c:v>
                </c:pt>
                <c:pt idx="1">
                  <c:v>1.11877</c:v>
                </c:pt>
                <c:pt idx="3">
                  <c:v>1</c:v>
                </c:pt>
                <c:pt idx="4">
                  <c:v>1.139224326715947</c:v>
                </c:pt>
                <c:pt idx="6">
                  <c:v>1</c:v>
                </c:pt>
                <c:pt idx="7">
                  <c:v>1.2734027445411249</c:v>
                </c:pt>
                <c:pt idx="9">
                  <c:v>1</c:v>
                </c:pt>
                <c:pt idx="10">
                  <c:v>1.0817072193913704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0-4658-9C04-D56C18BD0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48607"/>
        <c:axId val="707447647"/>
      </c:lineChart>
      <c:catAx>
        <c:axId val="707454367"/>
        <c:scaling>
          <c:orientation val="minMax"/>
        </c:scaling>
        <c:delete val="0"/>
        <c:axPos val="b"/>
        <c:numFmt formatCode="dd\.mm\.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49087"/>
        <c:crosses val="autoZero"/>
        <c:auto val="0"/>
        <c:lblAlgn val="ctr"/>
        <c:lblOffset val="100"/>
        <c:noMultiLvlLbl val="0"/>
      </c:catAx>
      <c:valAx>
        <c:axId val="707449087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54367"/>
        <c:crosses val="autoZero"/>
        <c:crossBetween val="between"/>
        <c:majorUnit val="500"/>
      </c:valAx>
      <c:valAx>
        <c:axId val="707447647"/>
        <c:scaling>
          <c:orientation val="minMax"/>
        </c:scaling>
        <c:delete val="0"/>
        <c:axPos val="r"/>
        <c:numFmt formatCode="0.00%" sourceLinked="1"/>
        <c:majorTickMark val="cross"/>
        <c:minorTickMark val="in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48607"/>
        <c:crosses val="max"/>
        <c:crossBetween val="between"/>
      </c:valAx>
      <c:dateAx>
        <c:axId val="707448607"/>
        <c:scaling>
          <c:orientation val="minMax"/>
        </c:scaling>
        <c:delete val="1"/>
        <c:axPos val="b"/>
        <c:numFmt formatCode="dd\.mm\.yyyy;@" sourceLinked="1"/>
        <c:majorTickMark val="out"/>
        <c:minorTickMark val="none"/>
        <c:tickLblPos val="nextTo"/>
        <c:crossAx val="7074476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</a:t>
            </a:r>
            <a:r>
              <a:rPr lang="en-US" baseline="0"/>
              <a:t> Trade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Sheet2!$T$1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250199108476575E-3"/>
                  <c:y val="3.398140601679559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63C3AC8-9DAF-4D92-B196-BA13F182554D}" type="VALUE">
                      <a:rPr lang="en-US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52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51396517089642"/>
                      <c:h val="5.431941130291132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162-4836-9BF5-13729C123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Sheet2!$S$2:$S$3</c:f>
              <c:numCache>
                <c:formatCode>dd\.mm\.yyyy;@</c:formatCode>
                <c:ptCount val="2"/>
                <c:pt idx="0">
                  <c:v>45293</c:v>
                </c:pt>
                <c:pt idx="1">
                  <c:v>45657</c:v>
                </c:pt>
              </c:numCache>
            </c:numRef>
          </c:cat>
          <c:val>
            <c:numRef>
              <c:f>Sheet2!$T$2:$T$3</c:f>
              <c:numCache>
                <c:formatCode>"$"#,##0.00</c:formatCode>
                <c:ptCount val="2"/>
                <c:pt idx="0">
                  <c:v>1000</c:v>
                </c:pt>
                <c:pt idx="1">
                  <c:v>1755.6000000000001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2-4836-9BF5-13729C12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349805967"/>
        <c:axId val="349809807"/>
      </c:barChart>
      <c:lineChart>
        <c:grouping val="standard"/>
        <c:varyColors val="0"/>
        <c:ser>
          <c:idx val="1"/>
          <c:order val="1"/>
          <c:tx>
            <c:strRef>
              <c:f>Sheet2!$U$1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0983638632996174E-2"/>
                  <c:y val="4.41758278218346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62-4836-9BF5-13729C123330}"/>
                </c:ext>
              </c:extLst>
            </c:dLbl>
            <c:dLbl>
              <c:idx val="1"/>
              <c:layout>
                <c:manualLayout>
                  <c:x val="5.5416998514126271E-2"/>
                  <c:y val="8.4953515041989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62-4836-9BF5-13729C123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Sheet2!$S$2:$S$3</c:f>
              <c:numCache>
                <c:formatCode>dd\.mm\.yyyy;@</c:formatCode>
                <c:ptCount val="2"/>
                <c:pt idx="0">
                  <c:v>45293</c:v>
                </c:pt>
                <c:pt idx="1">
                  <c:v>45657</c:v>
                </c:pt>
              </c:numCache>
            </c:numRef>
          </c:cat>
          <c:val>
            <c:numRef>
              <c:f>Sheet2!$U$2:$U$3</c:f>
              <c:numCache>
                <c:formatCode>0.00%</c:formatCode>
                <c:ptCount val="2"/>
                <c:pt idx="0">
                  <c:v>1</c:v>
                </c:pt>
                <c:pt idx="1">
                  <c:v>1.7556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62-4836-9BF5-13729C12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807887"/>
        <c:axId val="349807407"/>
      </c:lineChart>
      <c:catAx>
        <c:axId val="349805967"/>
        <c:scaling>
          <c:orientation val="minMax"/>
        </c:scaling>
        <c:delete val="0"/>
        <c:axPos val="b"/>
        <c:numFmt formatCode="dd\.mm\.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09807"/>
        <c:crosses val="autoZero"/>
        <c:auto val="0"/>
        <c:lblAlgn val="ctr"/>
        <c:lblOffset val="100"/>
        <c:noMultiLvlLbl val="0"/>
      </c:catAx>
      <c:valAx>
        <c:axId val="34980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05967"/>
        <c:crosses val="autoZero"/>
        <c:crossBetween val="between"/>
      </c:valAx>
      <c:valAx>
        <c:axId val="34980740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07887"/>
        <c:crosses val="max"/>
        <c:crossBetween val="between"/>
      </c:valAx>
      <c:dateAx>
        <c:axId val="349807887"/>
        <c:scaling>
          <c:orientation val="minMax"/>
        </c:scaling>
        <c:delete val="1"/>
        <c:axPos val="b"/>
        <c:numFmt formatCode="dd\.mm\.yyyy;@" sourceLinked="1"/>
        <c:majorTickMark val="out"/>
        <c:minorTickMark val="none"/>
        <c:tickLblPos val="nextTo"/>
        <c:crossAx val="34980740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359388</xdr:colOff>
      <xdr:row>7</xdr:row>
      <xdr:rowOff>112699</xdr:rowOff>
    </xdr:from>
    <xdr:to>
      <xdr:col>23</xdr:col>
      <xdr:colOff>111500</xdr:colOff>
      <xdr:row>41</xdr:row>
      <xdr:rowOff>21362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B4E9A-7B37-1DD5-DB44-A665EE655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0.3658</cdr:x>
      <cdr:y>0.5144</cdr:y>
    </cdr:from>
    <cdr:to>
      <cdr:x>0.50315</cdr:x>
      <cdr:y>0.63398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D616F386-4430-A05B-5990-681152871C36}"/>
            </a:ext>
          </a:extLst>
        </cdr:cNvPr>
        <cdr:cNvSpPr/>
      </cdr:nvSpPr>
      <cdr:spPr>
        <a:xfrm xmlns:a="http://schemas.openxmlformats.org/drawingml/2006/main">
          <a:off x="3819847" y="2699416"/>
          <a:ext cx="1434353" cy="627529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kern="1200"/>
            <a:t>High</a:t>
          </a:r>
          <a:r>
            <a:rPr lang="en-US" kern="1200" baseline="0"/>
            <a:t> Trading Activity</a:t>
          </a:r>
          <a:endParaRPr lang="en-US" kern="1200"/>
        </a:p>
      </cdr:txBody>
    </cdr:sp>
  </cdr:relSizeAnchor>
  <cdr:relSizeAnchor xmlns:cdr="http://schemas.openxmlformats.org/drawingml/2006/chartDrawing">
    <cdr:from>
      <cdr:x>0.16835</cdr:x>
      <cdr:y>0.57419</cdr:y>
    </cdr:from>
    <cdr:to>
      <cdr:x>0.3658</cdr:x>
      <cdr:y>0.59127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068EA735-397F-110D-B438-C226D02A7202}"/>
            </a:ext>
          </a:extLst>
        </cdr:cNvPr>
        <cdr:cNvCxnSpPr>
          <a:stCxn xmlns:a="http://schemas.openxmlformats.org/drawingml/2006/main" id="3" idx="2"/>
        </cdr:cNvCxnSpPr>
      </cdr:nvCxnSpPr>
      <cdr:spPr>
        <a:xfrm xmlns:a="http://schemas.openxmlformats.org/drawingml/2006/main" flipH="1">
          <a:off x="1757964" y="3013181"/>
          <a:ext cx="2061883" cy="8964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0.50315</cdr:x>
      <cdr:y>0.57419</cdr:y>
    </cdr:from>
    <cdr:to>
      <cdr:x>0.68129</cdr:x>
      <cdr:y>0.57419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0422E882-F1B7-9068-922C-4EA23A3BAA9C}"/>
            </a:ext>
          </a:extLst>
        </cdr:cNvPr>
        <cdr:cNvCxnSpPr>
          <a:stCxn xmlns:a="http://schemas.openxmlformats.org/drawingml/2006/main" id="3" idx="6"/>
        </cdr:cNvCxnSpPr>
      </cdr:nvCxnSpPr>
      <cdr:spPr>
        <a:xfrm xmlns:a="http://schemas.openxmlformats.org/drawingml/2006/main">
          <a:off x="5254200" y="3013181"/>
          <a:ext cx="1860176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0.61614</cdr:x>
      <cdr:y>0.16725</cdr:y>
    </cdr:from>
    <cdr:to>
      <cdr:x>0.63066</cdr:x>
      <cdr:y>0.26526</cdr:y>
    </cdr:to>
    <cdr:sp macro="" textlink="">
      <cdr:nvSpPr>
        <cdr:cNvPr id="13" name="Arrow: Right 12">
          <a:extLst xmlns:a="http://schemas.openxmlformats.org/drawingml/2006/main">
            <a:ext uri="{FF2B5EF4-FFF2-40B4-BE49-F238E27FC236}">
              <a16:creationId xmlns:a16="http://schemas.microsoft.com/office/drawing/2014/main" id="{6830DAA2-B24E-4C48-EF72-037FAC042C3F}"/>
            </a:ext>
          </a:extLst>
        </cdr:cNvPr>
        <cdr:cNvSpPr/>
      </cdr:nvSpPr>
      <cdr:spPr>
        <a:xfrm xmlns:a="http://schemas.openxmlformats.org/drawingml/2006/main" rot="18382145">
          <a:off x="6172889" y="1122371"/>
          <a:ext cx="542734" cy="150118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0.09033</cdr:x>
      <cdr:y>0.23127</cdr:y>
    </cdr:from>
    <cdr:to>
      <cdr:x>0.09959</cdr:x>
      <cdr:y>0.29379</cdr:y>
    </cdr:to>
    <cdr:sp macro="" textlink="">
      <cdr:nvSpPr>
        <cdr:cNvPr id="14" name="Arrow: Right 13">
          <a:extLst xmlns:a="http://schemas.openxmlformats.org/drawingml/2006/main">
            <a:ext uri="{FF2B5EF4-FFF2-40B4-BE49-F238E27FC236}">
              <a16:creationId xmlns:a16="http://schemas.microsoft.com/office/drawing/2014/main" id="{1A50BDCC-0333-4966-11A5-1C8F98535257}"/>
            </a:ext>
          </a:extLst>
        </cdr:cNvPr>
        <cdr:cNvSpPr/>
      </cdr:nvSpPr>
      <cdr:spPr>
        <a:xfrm xmlns:a="http://schemas.openxmlformats.org/drawingml/2006/main" rot="18382145">
          <a:off x="808543" y="1405775"/>
          <a:ext cx="346153" cy="95744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0.29218</cdr:x>
      <cdr:y>0.09789</cdr:y>
    </cdr:from>
    <cdr:to>
      <cdr:x>0.44519</cdr:x>
      <cdr:y>0.20858</cdr:y>
    </cdr:to>
    <cdr:sp macro="" textlink="">
      <cdr:nvSpPr>
        <cdr:cNvPr id="15" name="Oval 14">
          <a:extLst xmlns:a="http://schemas.openxmlformats.org/drawingml/2006/main">
            <a:ext uri="{FF2B5EF4-FFF2-40B4-BE49-F238E27FC236}">
              <a16:creationId xmlns:a16="http://schemas.microsoft.com/office/drawing/2014/main" id="{A65071A0-1BCC-D8C3-F27D-63552A0DD851}"/>
            </a:ext>
          </a:extLst>
        </cdr:cNvPr>
        <cdr:cNvSpPr/>
      </cdr:nvSpPr>
      <cdr:spPr>
        <a:xfrm xmlns:a="http://schemas.openxmlformats.org/drawingml/2006/main">
          <a:off x="3020329" y="542042"/>
          <a:ext cx="1581710" cy="612911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700" kern="1200"/>
            <a:t>Sudden Price Increasing before</a:t>
          </a:r>
          <a:r>
            <a:rPr lang="en-US" sz="700" kern="1200" baseline="0"/>
            <a:t> high trading activity</a:t>
          </a:r>
        </a:p>
      </cdr:txBody>
    </cdr:sp>
  </cdr:relSizeAnchor>
  <cdr:relSizeAnchor xmlns:cdr="http://schemas.openxmlformats.org/drawingml/2006/chartDrawing">
    <cdr:from>
      <cdr:x>0.10469</cdr:x>
      <cdr:y>0.15324</cdr:y>
    </cdr:from>
    <cdr:to>
      <cdr:x>0.29218</cdr:x>
      <cdr:y>0.25645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953D30DA-9DE2-9E8C-35E0-6BC6CAD973C5}"/>
            </a:ext>
          </a:extLst>
        </cdr:cNvPr>
        <cdr:cNvCxnSpPr>
          <a:stCxn xmlns:a="http://schemas.openxmlformats.org/drawingml/2006/main" id="15" idx="2"/>
        </cdr:cNvCxnSpPr>
      </cdr:nvCxnSpPr>
      <cdr:spPr>
        <a:xfrm xmlns:a="http://schemas.openxmlformats.org/drawingml/2006/main" flipH="1">
          <a:off x="1082200" y="848498"/>
          <a:ext cx="1938129" cy="57149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0.44602</cdr:x>
      <cdr:y>0.14875</cdr:y>
    </cdr:from>
    <cdr:to>
      <cdr:x>0.62069</cdr:x>
      <cdr:y>0.21307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BDF4350F-6506-BE54-2351-D8E7F831EACA}"/>
            </a:ext>
          </a:extLst>
        </cdr:cNvPr>
        <cdr:cNvCxnSpPr/>
      </cdr:nvCxnSpPr>
      <cdr:spPr>
        <a:xfrm xmlns:a="http://schemas.openxmlformats.org/drawingml/2006/main">
          <a:off x="4610592" y="823649"/>
          <a:ext cx="1805608" cy="35615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244567</xdr:colOff>
      <xdr:row>5</xdr:row>
      <xdr:rowOff>33619</xdr:rowOff>
    </xdr:from>
    <xdr:to>
      <xdr:col>25</xdr:col>
      <xdr:colOff>190500</xdr:colOff>
      <xdr:row>37</xdr:row>
      <xdr:rowOff>122187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D3BE1-E3FF-AD1F-FFE3-AD66F5ABB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0.5481</cdr:x>
      <cdr:y>0.60256</cdr:y>
    </cdr:from>
    <cdr:to>
      <cdr:x>0.68384</cdr:x>
      <cdr:y>0.72487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A5292C04-848E-2CDB-DB16-3C02396F58CF}"/>
            </a:ext>
          </a:extLst>
        </cdr:cNvPr>
        <cdr:cNvSpPr/>
      </cdr:nvSpPr>
      <cdr:spPr>
        <a:xfrm xmlns:a="http://schemas.openxmlformats.org/drawingml/2006/main">
          <a:off x="7330610" y="3798794"/>
          <a:ext cx="1815353" cy="771123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lvl="0" algn="ctr"/>
          <a:r>
            <a:rPr lang="en-US" kern="1200"/>
            <a:t>No</a:t>
          </a:r>
          <a:r>
            <a:rPr lang="en-US" kern="1200" baseline="0"/>
            <a:t> market Trade</a:t>
          </a:r>
          <a:endParaRPr lang="en-US" kern="1200"/>
        </a:p>
      </cdr:txBody>
    </cdr:sp>
  </cdr:relSizeAnchor>
  <cdr:relSizeAnchor xmlns:cdr="http://schemas.openxmlformats.org/drawingml/2006/chartDrawing">
    <cdr:from>
      <cdr:x>0.47018</cdr:x>
      <cdr:y>0.66299</cdr:y>
    </cdr:from>
    <cdr:to>
      <cdr:x>0.5481</cdr:x>
      <cdr:y>0.66372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18CCD6A0-248C-0DDB-DC56-9B28B241AECD}"/>
            </a:ext>
          </a:extLst>
        </cdr:cNvPr>
        <cdr:cNvCxnSpPr>
          <a:stCxn xmlns:a="http://schemas.openxmlformats.org/drawingml/2006/main" id="2" idx="2"/>
        </cdr:cNvCxnSpPr>
      </cdr:nvCxnSpPr>
      <cdr:spPr>
        <a:xfrm xmlns:a="http://schemas.openxmlformats.org/drawingml/2006/main" flipH="1" flipV="1">
          <a:off x="6288463" y="4179794"/>
          <a:ext cx="1042147" cy="456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0.12499</cdr:x>
      <cdr:y>0.16886</cdr:y>
    </cdr:from>
    <cdr:to>
      <cdr:x>0.77768</cdr:x>
      <cdr:y>0.21152</cdr:y>
    </cdr:to>
    <cdr:sp macro="" textlink="">
      <cdr:nvSpPr>
        <cdr:cNvPr id="5" name="Arrow: Right 4">
          <a:extLst xmlns:a="http://schemas.openxmlformats.org/drawingml/2006/main">
            <a:ext uri="{FF2B5EF4-FFF2-40B4-BE49-F238E27FC236}">
              <a16:creationId xmlns:a16="http://schemas.microsoft.com/office/drawing/2014/main" id="{EA8CC62D-A781-2AE3-553C-88D2F0A3A037}"/>
            </a:ext>
          </a:extLst>
        </cdr:cNvPr>
        <cdr:cNvSpPr/>
      </cdr:nvSpPr>
      <cdr:spPr>
        <a:xfrm xmlns:a="http://schemas.openxmlformats.org/drawingml/2006/main" rot="21440159">
          <a:off x="1671641" y="1064561"/>
          <a:ext cx="8729382" cy="268941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0.29675</cdr:x>
      <cdr:y>0.12975</cdr:y>
    </cdr:from>
    <cdr:to>
      <cdr:x>0.65284</cdr:x>
      <cdr:y>0.15286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0B155DE-2D91-1C10-B0FC-592F5896189B}"/>
            </a:ext>
          </a:extLst>
        </cdr:cNvPr>
        <cdr:cNvSpPr txBox="1"/>
      </cdr:nvSpPr>
      <cdr:spPr>
        <a:xfrm xmlns:a="http://schemas.openxmlformats.org/drawingml/2006/main">
          <a:off x="3968845" y="818029"/>
          <a:ext cx="4762500" cy="1456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0.39684</cdr:x>
      <cdr:y>0.08783</cdr:y>
    </cdr:from>
    <cdr:to>
      <cdr:x>0.86018</cdr:x>
      <cdr:y>0.15803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68BBCE8-7E1B-D435-D69E-9E63A3F82183}"/>
            </a:ext>
          </a:extLst>
        </cdr:cNvPr>
        <cdr:cNvSpPr txBox="1"/>
      </cdr:nvSpPr>
      <cdr:spPr>
        <a:xfrm xmlns:a="http://schemas.openxmlformats.org/drawingml/2006/main" rot="21406658">
          <a:off x="4300955" y="448699"/>
          <a:ext cx="5021702" cy="3586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/>
            <a:t>Gradual upward</a:t>
          </a:r>
          <a:r>
            <a:rPr lang="en-US" sz="1600" b="1" kern="1200" baseline="0"/>
            <a:t> Trend</a:t>
          </a:r>
          <a:endParaRPr lang="en-US" sz="1600" b="1" kern="1200"/>
        </a:p>
      </cdr:txBody>
    </cdr:sp>
  </cdr:relSizeAnchor>
  <cdr:relSizeAnchor xmlns:cdr="http://schemas.openxmlformats.org/drawingml/2006/chartDrawing">
    <cdr:from>
      <cdr:x>0.60005</cdr:x>
      <cdr:y>0.31994</cdr:y>
    </cdr:from>
    <cdr:to>
      <cdr:x>0.69473</cdr:x>
      <cdr:y>0.35194</cdr:y>
    </cdr:to>
    <cdr:sp macro="" textlink="">
      <cdr:nvSpPr>
        <cdr:cNvPr id="11" name="Arrow: Right 10">
          <a:extLst xmlns:a="http://schemas.openxmlformats.org/drawingml/2006/main">
            <a:ext uri="{FF2B5EF4-FFF2-40B4-BE49-F238E27FC236}">
              <a16:creationId xmlns:a16="http://schemas.microsoft.com/office/drawing/2014/main" id="{A4680AA5-A99B-E69E-F228-2EEFDD1D8640}"/>
            </a:ext>
          </a:extLst>
        </cdr:cNvPr>
        <cdr:cNvSpPr/>
      </cdr:nvSpPr>
      <cdr:spPr>
        <a:xfrm xmlns:a="http://schemas.openxmlformats.org/drawingml/2006/main" rot="20710313">
          <a:off x="8025374" y="2017058"/>
          <a:ext cx="1266265" cy="201706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0.49281</cdr:x>
      <cdr:y>0.31639</cdr:y>
    </cdr:from>
    <cdr:to>
      <cdr:x>0.54391</cdr:x>
      <cdr:y>0.33772</cdr:y>
    </cdr:to>
    <cdr:sp macro="" textlink="">
      <cdr:nvSpPr>
        <cdr:cNvPr id="13" name="Arrow: Right 12">
          <a:extLst xmlns:a="http://schemas.openxmlformats.org/drawingml/2006/main">
            <a:ext uri="{FF2B5EF4-FFF2-40B4-BE49-F238E27FC236}">
              <a16:creationId xmlns:a16="http://schemas.microsoft.com/office/drawing/2014/main" id="{859B4373-F491-7505-AAD2-EDED1B81DD7F}"/>
            </a:ext>
          </a:extLst>
        </cdr:cNvPr>
        <cdr:cNvSpPr/>
      </cdr:nvSpPr>
      <cdr:spPr>
        <a:xfrm xmlns:a="http://schemas.openxmlformats.org/drawingml/2006/main" rot="998274">
          <a:off x="6591022" y="1994647"/>
          <a:ext cx="683559" cy="134471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0.47772</cdr:x>
      <cdr:y>0.33239</cdr:y>
    </cdr:from>
    <cdr:to>
      <cdr:x>0.559</cdr:x>
      <cdr:y>0.38571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01D52E51-CF7E-8844-CBA7-B5E06CA15AFA}"/>
            </a:ext>
          </a:extLst>
        </cdr:cNvPr>
        <cdr:cNvSpPr txBox="1"/>
      </cdr:nvSpPr>
      <cdr:spPr>
        <a:xfrm xmlns:a="http://schemas.openxmlformats.org/drawingml/2006/main" rot="1161320">
          <a:off x="6389314" y="2095500"/>
          <a:ext cx="1086971" cy="336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Break</a:t>
          </a:r>
          <a:r>
            <a:rPr lang="en-US" sz="1100" kern="1200" baseline="0"/>
            <a:t> Around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0.59083</cdr:x>
      <cdr:y>0.34127</cdr:y>
    </cdr:from>
    <cdr:to>
      <cdr:x>0.75003</cdr:x>
      <cdr:y>0.39637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21BD2B6B-8EDA-0A2C-3D22-0426A481F5D9}"/>
            </a:ext>
          </a:extLst>
        </cdr:cNvPr>
        <cdr:cNvSpPr txBox="1"/>
      </cdr:nvSpPr>
      <cdr:spPr>
        <a:xfrm xmlns:a="http://schemas.openxmlformats.org/drawingml/2006/main" rot="20594609">
          <a:off x="7902110" y="2151530"/>
          <a:ext cx="2129118" cy="3473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Rebounded</a:t>
          </a:r>
          <a:r>
            <a:rPr lang="en-US" sz="1100" kern="1200" baseline="0"/>
            <a:t> and Continue Rising</a:t>
          </a:r>
          <a:endParaRPr lang="en-US" sz="11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3</xdr:row>
      <xdr:rowOff>1</xdr:rowOff>
    </xdr:from>
    <xdr:to>
      <xdr:col>18</xdr:col>
      <xdr:colOff>361951</xdr:colOff>
      <xdr:row>30</xdr:row>
      <xdr:rowOff>50404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B7FDB-4004-8589-8471-907D92165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0.27416</cdr:x>
      <cdr:y>0.11021</cdr:y>
    </cdr:from>
    <cdr:to>
      <cdr:x>0.39464</cdr:x>
      <cdr:y>0.20508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E2535CEF-7216-F704-5EB4-6CFE98638485}"/>
            </a:ext>
          </a:extLst>
        </cdr:cNvPr>
        <cdr:cNvSpPr/>
      </cdr:nvSpPr>
      <cdr:spPr>
        <a:xfrm xmlns:a="http://schemas.openxmlformats.org/drawingml/2006/main">
          <a:off x="2767400" y="537476"/>
          <a:ext cx="1216123" cy="462649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700" kern="1200"/>
            <a:t>Significant</a:t>
          </a:r>
          <a:r>
            <a:rPr lang="en-US" sz="700" kern="1200" baseline="0"/>
            <a:t> Capital Increase</a:t>
          </a:r>
          <a:endParaRPr lang="en-US" sz="700" kern="1200"/>
        </a:p>
      </cdr:txBody>
    </cdr:sp>
  </cdr:relSizeAnchor>
  <cdr:relSizeAnchor xmlns:cdr="http://schemas.openxmlformats.org/drawingml/2006/chartDrawing">
    <cdr:from>
      <cdr:x>0.39464</cdr:x>
      <cdr:y>0.15764</cdr:y>
    </cdr:from>
    <cdr:to>
      <cdr:x>0.45671</cdr:x>
      <cdr:y>0.27539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3F6833D0-36E1-2E7A-C5F2-877B797B7240}"/>
            </a:ext>
          </a:extLst>
        </cdr:cNvPr>
        <cdr:cNvCxnSpPr>
          <a:stCxn xmlns:a="http://schemas.openxmlformats.org/drawingml/2006/main" id="2" idx="6"/>
        </cdr:cNvCxnSpPr>
      </cdr:nvCxnSpPr>
      <cdr:spPr>
        <a:xfrm xmlns:a="http://schemas.openxmlformats.org/drawingml/2006/main">
          <a:off x="3983523" y="768801"/>
          <a:ext cx="626578" cy="57422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0.07926</cdr:x>
      <cdr:y>0.17773</cdr:y>
    </cdr:from>
    <cdr:to>
      <cdr:x>0.88795</cdr:x>
      <cdr:y>0.35742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AD198F84-5C60-32EB-D3CC-64AFF5819D04}"/>
            </a:ext>
          </a:extLst>
        </cdr:cNvPr>
        <cdr:cNvCxnSpPr/>
      </cdr:nvCxnSpPr>
      <cdr:spPr>
        <a:xfrm xmlns:a="http://schemas.openxmlformats.org/drawingml/2006/main" flipV="1">
          <a:off x="800101" y="866775"/>
          <a:ext cx="8162925" cy="8763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0.39464</cdr:x>
      <cdr:y>0.15764</cdr:y>
    </cdr:from>
    <cdr:to>
      <cdr:x>0.51522</cdr:x>
      <cdr:y>0.19336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43D600DC-F770-3FE7-59EA-2090C29E1F1F}"/>
            </a:ext>
          </a:extLst>
        </cdr:cNvPr>
        <cdr:cNvCxnSpPr>
          <a:stCxn xmlns:a="http://schemas.openxmlformats.org/drawingml/2006/main" id="2" idx="6"/>
        </cdr:cNvCxnSpPr>
      </cdr:nvCxnSpPr>
      <cdr:spPr>
        <a:xfrm xmlns:a="http://schemas.openxmlformats.org/drawingml/2006/main">
          <a:off x="3983523" y="768801"/>
          <a:ext cx="1217128" cy="17417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359704</xdr:colOff>
      <xdr:row>3</xdr:row>
      <xdr:rowOff>28049</xdr:rowOff>
    </xdr:from>
    <xdr:to>
      <xdr:col>19</xdr:col>
      <xdr:colOff>74853</xdr:colOff>
      <xdr:row>28</xdr:row>
      <xdr:rowOff>20111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9BE4B8-9284-75A7-E8DD-1E6982487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0.29767</cdr:x>
      <cdr:y>0.55731</cdr:y>
    </cdr:from>
    <cdr:to>
      <cdr:x>0.72219</cdr:x>
      <cdr:y>0.77046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05CAC51-1B37-5D9C-23C9-B5617D35DB00}"/>
            </a:ext>
          </a:extLst>
        </cdr:cNvPr>
        <cdr:cNvCxnSpPr/>
      </cdr:nvCxnSpPr>
      <cdr:spPr>
        <a:xfrm xmlns:a="http://schemas.openxmlformats.org/drawingml/2006/main" flipV="1">
          <a:off x="2630365" y="2241430"/>
          <a:ext cx="3751385" cy="85725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0.31591</cdr:x>
      <cdr:y>0.10733</cdr:y>
    </cdr:from>
    <cdr:to>
      <cdr:x>0.7197</cdr:x>
      <cdr:y>0.37878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3AF884C6-CC3C-2386-3CD1-518984F7887F}"/>
            </a:ext>
          </a:extLst>
        </cdr:cNvPr>
        <cdr:cNvCxnSpPr/>
      </cdr:nvCxnSpPr>
      <cdr:spPr>
        <a:xfrm xmlns:a="http://schemas.openxmlformats.org/drawingml/2006/main">
          <a:off x="2791558" y="431679"/>
          <a:ext cx="3568211" cy="109171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0.45003</cdr:x>
      <cdr:y>0.20381</cdr:y>
    </cdr:from>
    <cdr:to>
      <cdr:x>0.65234</cdr:x>
      <cdr:y>0.26992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935D537-EE23-CCF4-D1C7-19E7113CEE3C}"/>
            </a:ext>
          </a:extLst>
        </cdr:cNvPr>
        <cdr:cNvSpPr txBox="1"/>
      </cdr:nvSpPr>
      <cdr:spPr>
        <a:xfrm xmlns:a="http://schemas.openxmlformats.org/drawingml/2006/main" rot="1136359">
          <a:off x="3976733" y="819680"/>
          <a:ext cx="1787769" cy="265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DIvidend Decrease</a:t>
          </a:r>
        </a:p>
      </cdr:txBody>
    </cdr:sp>
  </cdr:relSizeAnchor>
  <cdr:relSizeAnchor xmlns:cdr="http://schemas.openxmlformats.org/drawingml/2006/chartDrawing">
    <cdr:from>
      <cdr:x>0.44603</cdr:x>
      <cdr:y>0.58649</cdr:y>
    </cdr:from>
    <cdr:to>
      <cdr:x>0.64834</cdr:x>
      <cdr:y>0.6526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FA0F69C1-2E17-A5F3-55E3-990A56A07A26}"/>
            </a:ext>
          </a:extLst>
        </cdr:cNvPr>
        <cdr:cNvSpPr txBox="1"/>
      </cdr:nvSpPr>
      <cdr:spPr>
        <a:xfrm xmlns:a="http://schemas.openxmlformats.org/drawingml/2006/main" rot="20829784">
          <a:off x="3941396" y="2358779"/>
          <a:ext cx="1787769" cy="265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Price</a:t>
          </a:r>
          <a:r>
            <a:rPr lang="en-US" sz="1100" kern="1200" baseline="0"/>
            <a:t> Increase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0.15929</cdr:x>
      <cdr:y>0.40525</cdr:y>
    </cdr:from>
    <cdr:to>
      <cdr:x>0.27339</cdr:x>
      <cdr:y>0.46979</cdr:y>
    </cdr:to>
    <cdr:sp macro="" textlink="">
      <cdr:nvSpPr>
        <cdr:cNvPr id="10" name="Oval 9">
          <a:extLst xmlns:a="http://schemas.openxmlformats.org/drawingml/2006/main">
            <a:ext uri="{FF2B5EF4-FFF2-40B4-BE49-F238E27FC236}">
              <a16:creationId xmlns:a16="http://schemas.microsoft.com/office/drawing/2014/main" id="{02449774-FCD8-8CA5-618B-9D7840F7AF75}"/>
            </a:ext>
          </a:extLst>
        </cdr:cNvPr>
        <cdr:cNvSpPr/>
      </cdr:nvSpPr>
      <cdr:spPr>
        <a:xfrm xmlns:a="http://schemas.openxmlformats.org/drawingml/2006/main">
          <a:off x="1410815" y="1651083"/>
          <a:ext cx="1010629" cy="262937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500" kern="1200"/>
            <a:t>Inverse</a:t>
          </a:r>
          <a:r>
            <a:rPr lang="en-US" sz="500" kern="1200" baseline="0"/>
            <a:t> Correlation</a:t>
          </a:r>
          <a:endParaRPr lang="en-US" sz="500" kern="1200"/>
        </a:p>
      </cdr:txBody>
    </cdr:sp>
  </cdr:relSizeAnchor>
  <cdr:relSizeAnchor xmlns:cdr="http://schemas.openxmlformats.org/drawingml/2006/chartDrawing">
    <cdr:from>
      <cdr:x>0.66852</cdr:x>
      <cdr:y>0.35356</cdr:y>
    </cdr:from>
    <cdr:to>
      <cdr:x>0.66852</cdr:x>
      <cdr:y>0.43105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D414FF32-0C84-78AC-C44C-4980B395892B}"/>
            </a:ext>
          </a:extLst>
        </cdr:cNvPr>
        <cdr:cNvCxnSpPr/>
      </cdr:nvCxnSpPr>
      <cdr:spPr>
        <a:xfrm xmlns:a="http://schemas.openxmlformats.org/drawingml/2006/main" flipV="1">
          <a:off x="5921201" y="1440491"/>
          <a:ext cx="0" cy="31568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0.66852</cdr:x>
      <cdr:y>0.42971</cdr:y>
    </cdr:from>
    <cdr:to>
      <cdr:x>0.66852</cdr:x>
      <cdr:y>0.52323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9B57588B-1FAC-C448-23ED-21B07D8B8626}"/>
            </a:ext>
          </a:extLst>
        </cdr:cNvPr>
        <cdr:cNvCxnSpPr/>
      </cdr:nvCxnSpPr>
      <cdr:spPr>
        <a:xfrm xmlns:a="http://schemas.openxmlformats.org/drawingml/2006/main">
          <a:off x="5921201" y="1750734"/>
          <a:ext cx="0" cy="3810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0.6868</cdr:x>
      <cdr:y>0.39569</cdr:y>
    </cdr:from>
    <cdr:to>
      <cdr:x>0.81953</cdr:x>
      <cdr:y>0.49188</cdr:y>
    </cdr:to>
    <cdr:sp macro="" textlink="">
      <cdr:nvSpPr>
        <cdr:cNvPr id="20" name="Rectangle: Rounded Corners 19">
          <a:extLst xmlns:a="http://schemas.openxmlformats.org/drawingml/2006/main">
            <a:ext uri="{FF2B5EF4-FFF2-40B4-BE49-F238E27FC236}">
              <a16:creationId xmlns:a16="http://schemas.microsoft.com/office/drawing/2014/main" id="{57BE94B8-4B7C-F744-F201-118D5EAFD28A}"/>
            </a:ext>
          </a:extLst>
        </cdr:cNvPr>
        <cdr:cNvSpPr/>
      </cdr:nvSpPr>
      <cdr:spPr>
        <a:xfrm xmlns:a="http://schemas.openxmlformats.org/drawingml/2006/main">
          <a:off x="6084464" y="1598662"/>
          <a:ext cx="1175832" cy="388625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600" kern="1200"/>
        </a:p>
        <a:p xmlns:a="http://schemas.openxmlformats.org/drawingml/2006/main">
          <a:pPr algn="ctr"/>
          <a:r>
            <a:rPr lang="en-US" sz="600" kern="1200"/>
            <a:t>Significant Drop/ Increase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2</xdr:row>
      <xdr:rowOff>171449</xdr:rowOff>
    </xdr:from>
    <xdr:to>
      <xdr:col>17</xdr:col>
      <xdr:colOff>0</xdr:colOff>
      <xdr:row>31</xdr:row>
      <xdr:rowOff>27214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4DCFC4-84C9-9A30-2906-BEFC7087C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0.3966</cdr:x>
      <cdr:y>0.31667</cdr:y>
    </cdr:from>
    <cdr:to>
      <cdr:x>0.63417</cdr:x>
      <cdr:y>0.4753</cdr:y>
    </cdr:to>
    <cdr:sp macro="" textlink="">
      <cdr:nvSpPr>
        <cdr:cNvPr id="2" name="Star: 12 Points 1">
          <a:extLst xmlns:a="http://schemas.openxmlformats.org/drawingml/2006/main">
            <a:ext uri="{FF2B5EF4-FFF2-40B4-BE49-F238E27FC236}">
              <a16:creationId xmlns:a16="http://schemas.microsoft.com/office/drawing/2014/main" id="{BB13EB1C-CC9E-6F70-ACA9-55372E4C4CDB}"/>
            </a:ext>
          </a:extLst>
        </cdr:cNvPr>
        <cdr:cNvSpPr/>
      </cdr:nvSpPr>
      <cdr:spPr>
        <a:xfrm xmlns:a="http://schemas.openxmlformats.org/drawingml/2006/main">
          <a:off x="2517775" y="1689100"/>
          <a:ext cx="1508167" cy="846133"/>
        </a:xfrm>
        <a:prstGeom xmlns:a="http://schemas.openxmlformats.org/drawingml/2006/main" prst="star12">
          <a:avLst/>
        </a:pr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126.49%</a:t>
          </a:r>
        </a:p>
        <a:p xmlns:a="http://schemas.openxmlformats.org/drawingml/2006/main">
          <a:pPr algn="ctr"/>
          <a:r>
            <a:rPr lang="en-US" kern="1200"/>
            <a:t>Profit!!!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412889</xdr:colOff>
      <xdr:row>52</xdr:row>
      <xdr:rowOff>156443</xdr:rowOff>
    </xdr:from>
    <xdr:to>
      <xdr:col>24</xdr:col>
      <xdr:colOff>5335</xdr:colOff>
      <xdr:row>108</xdr:row>
      <xdr:rowOff>13606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826884-1D8C-90AE-C62D-2183E66FF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753718</xdr:colOff>
      <xdr:row>3</xdr:row>
      <xdr:rowOff>9037</xdr:rowOff>
    </xdr:from>
    <xdr:to>
      <xdr:col>20</xdr:col>
      <xdr:colOff>14130</xdr:colOff>
      <xdr:row>41</xdr:row>
      <xdr:rowOff>100192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EC5A6-31A0-CE11-EB6D-07A03C188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0.2472</cdr:x>
      <cdr:y>0.2075</cdr:y>
    </cdr:from>
    <cdr:to>
      <cdr:x>0.72447</cdr:x>
      <cdr:y>0.47005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34268453-192E-AD7C-1863-656060FBCD4E}"/>
            </a:ext>
          </a:extLst>
        </cdr:cNvPr>
        <cdr:cNvCxnSpPr/>
      </cdr:nvCxnSpPr>
      <cdr:spPr>
        <a:xfrm xmlns:a="http://schemas.openxmlformats.org/drawingml/2006/main" flipV="1">
          <a:off x="3145779" y="1647266"/>
          <a:ext cx="6073589" cy="208429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0.05788</cdr:x>
      <cdr:y>0.73966</cdr:y>
    </cdr:from>
    <cdr:to>
      <cdr:x>0.17235</cdr:x>
      <cdr:y>0.82576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780D2E02-FCFD-7B7C-30E1-3BE5D13AEE20}"/>
            </a:ext>
          </a:extLst>
        </cdr:cNvPr>
        <cdr:cNvSpPr/>
      </cdr:nvSpPr>
      <cdr:spPr>
        <a:xfrm xmlns:a="http://schemas.openxmlformats.org/drawingml/2006/main">
          <a:off x="736515" y="5871884"/>
          <a:ext cx="1456765" cy="683559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kern="1200"/>
            <a:t>Buy 107</a:t>
          </a:r>
          <a:r>
            <a:rPr lang="en-US" kern="1200" baseline="0"/>
            <a:t> shares from IFT at 9.28$ per share on 2/1/2024</a:t>
          </a:r>
          <a:endParaRPr lang="en-US" kern="1200"/>
        </a:p>
      </cdr:txBody>
    </cdr:sp>
  </cdr:relSizeAnchor>
  <cdr:relSizeAnchor xmlns:cdr="http://schemas.openxmlformats.org/drawingml/2006/chartDrawing">
    <cdr:from>
      <cdr:x>0</cdr:x>
      <cdr:y>0</cdr:y>
    </cdr:from>
    <cdr:to>
      <cdr:x>0.25439</cdr:x>
      <cdr:y>0.03763</cdr:y>
    </cdr:to>
    <cdr:pic>
      <cdr:nvPicPr>
        <cdr:cNvPr id="5" name="chart">
          <a:extLst xmlns:a="http://schemas.openxmlformats.org/drawingml/2006/main">
            <a:ext uri="{FF2B5EF4-FFF2-40B4-BE49-F238E27FC236}">
              <a16:creationId xmlns:a16="http://schemas.microsoft.com/office/drawing/2014/main" id="{CC73561E-DDD7-87BE-4456-CB3CE95D12D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237257" cy="29873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0.8467</cdr:x>
      <cdr:y>0.02616</cdr:y>
    </cdr:from>
    <cdr:to>
      <cdr:x>0.95958</cdr:x>
      <cdr:y>0.11255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9ABC1C11-133F-C9CB-568F-A47767B46B19}"/>
            </a:ext>
          </a:extLst>
        </cdr:cNvPr>
        <cdr:cNvSpPr/>
      </cdr:nvSpPr>
      <cdr:spPr>
        <a:xfrm xmlns:a="http://schemas.openxmlformats.org/drawingml/2006/main">
          <a:off x="10774829" y="207684"/>
          <a:ext cx="1436509" cy="685804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Sell 107</a:t>
          </a:r>
          <a:r>
            <a:rPr lang="en-US" kern="1200" baseline="0"/>
            <a:t> shares from IFT at 11.97$ per share on 29/10/2024</a:t>
          </a:r>
          <a:endParaRPr lang="en-US" kern="12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0.43229</cdr:x>
      <cdr:y>0.27913</cdr:y>
    </cdr:from>
    <cdr:to>
      <cdr:x>0.61361</cdr:x>
      <cdr:y>0.41983</cdr:y>
    </cdr:to>
    <cdr:sp macro="" textlink="">
      <cdr:nvSpPr>
        <cdr:cNvPr id="2" name="Star: 12 Points 1">
          <a:extLst xmlns:a="http://schemas.openxmlformats.org/drawingml/2006/main">
            <a:ext uri="{FF2B5EF4-FFF2-40B4-BE49-F238E27FC236}">
              <a16:creationId xmlns:a16="http://schemas.microsoft.com/office/drawing/2014/main" id="{BB13EB1C-CC9E-6F70-ACA9-55372E4C4CDB}"/>
            </a:ext>
          </a:extLst>
        </cdr:cNvPr>
        <cdr:cNvSpPr/>
      </cdr:nvSpPr>
      <cdr:spPr>
        <a:xfrm xmlns:a="http://schemas.openxmlformats.org/drawingml/2006/main">
          <a:off x="3045960" y="1782537"/>
          <a:ext cx="1277561" cy="898466"/>
        </a:xfrm>
        <a:prstGeom xmlns:a="http://schemas.openxmlformats.org/drawingml/2006/main" prst="star12">
          <a:avLst/>
        </a:pr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130.77%</a:t>
          </a:r>
        </a:p>
        <a:p xmlns:a="http://schemas.openxmlformats.org/drawingml/2006/main">
          <a:pPr algn="ctr"/>
          <a:r>
            <a:rPr lang="en-US" kern="1200"/>
            <a:t>Profit!!!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224414</xdr:colOff>
      <xdr:row>28</xdr:row>
      <xdr:rowOff>16293</xdr:rowOff>
    </xdr:from>
    <xdr:to>
      <xdr:col>39</xdr:col>
      <xdr:colOff>556336</xdr:colOff>
      <xdr:row>100</xdr:row>
      <xdr:rowOff>100204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DBED8-B8E7-4889-A1FC-4E5046E8F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576261</xdr:colOff>
      <xdr:row>12</xdr:row>
      <xdr:rowOff>5305</xdr:rowOff>
    </xdr:from>
    <xdr:to>
      <xdr:col>16</xdr:col>
      <xdr:colOff>0</xdr:colOff>
      <xdr:row>47</xdr:row>
      <xdr:rowOff>136073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B1A90-7AC5-8294-3204-20DE22428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581025</xdr:colOff>
      <xdr:row>55</xdr:row>
      <xdr:rowOff>19050</xdr:rowOff>
    </xdr:from>
    <xdr:to>
      <xdr:col>22</xdr:col>
      <xdr:colOff>85725</xdr:colOff>
      <xdr:row>63</xdr:row>
      <xdr:rowOff>123825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210245A-54F6-E481-FBCE-3450E26BA91F}"/>
            </a:ext>
          </a:extLst>
        </xdr:cNvPr>
        <xdr:cNvCxnSpPr/>
      </xdr:nvCxnSpPr>
      <xdr:spPr>
        <a:xfrm flipV="1">
          <a:off x="13134975" y="8982075"/>
          <a:ext cx="4210050" cy="1400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171450</xdr:colOff>
      <xdr:row>72</xdr:row>
      <xdr:rowOff>76200</xdr:rowOff>
    </xdr:from>
    <xdr:to>
      <xdr:col>23</xdr:col>
      <xdr:colOff>552450</xdr:colOff>
      <xdr:row>76</xdr:row>
      <xdr:rowOff>142875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ECFD98B-74C8-60D1-766A-54E2C9F798C6}"/>
            </a:ext>
          </a:extLst>
        </xdr:cNvPr>
        <xdr:cNvCxnSpPr/>
      </xdr:nvCxnSpPr>
      <xdr:spPr>
        <a:xfrm>
          <a:off x="17430750" y="11791950"/>
          <a:ext cx="990600" cy="714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359228</xdr:colOff>
      <xdr:row>59</xdr:row>
      <xdr:rowOff>95250</xdr:rowOff>
    </xdr:from>
    <xdr:to>
      <xdr:col>24</xdr:col>
      <xdr:colOff>606879</xdr:colOff>
      <xdr:row>64</xdr:row>
      <xdr:rowOff>57150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2125F52-83BB-AF1A-5F3F-AAFD7E5AF4F5}"/>
            </a:ext>
          </a:extLst>
        </xdr:cNvPr>
        <xdr:cNvCxnSpPr/>
      </xdr:nvCxnSpPr>
      <xdr:spPr>
        <a:xfrm flipV="1">
          <a:off x="18252621" y="9797143"/>
          <a:ext cx="859972" cy="7783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361950</xdr:colOff>
      <xdr:row>71</xdr:row>
      <xdr:rowOff>28575</xdr:rowOff>
    </xdr:from>
    <xdr:to>
      <xdr:col>29</xdr:col>
      <xdr:colOff>66675</xdr:colOff>
      <xdr:row>77</xdr:row>
      <xdr:rowOff>142875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C9B13F7-EC6A-A9F3-43EC-A84598CAF5E0}"/>
            </a:ext>
          </a:extLst>
        </xdr:cNvPr>
        <xdr:cNvCxnSpPr/>
      </xdr:nvCxnSpPr>
      <xdr:spPr>
        <a:xfrm>
          <a:off x="20059650" y="11582400"/>
          <a:ext cx="1533525" cy="1085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409575</xdr:colOff>
      <xdr:row>39</xdr:row>
      <xdr:rowOff>85725</xdr:rowOff>
    </xdr:from>
    <xdr:to>
      <xdr:col>33</xdr:col>
      <xdr:colOff>600075</xdr:colOff>
      <xdr:row>49</xdr:row>
      <xdr:rowOff>38100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408645C-E500-94E4-266A-1108855CA288}"/>
            </a:ext>
          </a:extLst>
        </xdr:cNvPr>
        <xdr:cNvCxnSpPr/>
      </xdr:nvCxnSpPr>
      <xdr:spPr>
        <a:xfrm flipV="1">
          <a:off x="21936075" y="6457950"/>
          <a:ext cx="2628900" cy="15716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499382</xdr:colOff>
      <xdr:row>43</xdr:row>
      <xdr:rowOff>23133</xdr:rowOff>
    </xdr:from>
    <xdr:to>
      <xdr:col>38</xdr:col>
      <xdr:colOff>499383</xdr:colOff>
      <xdr:row>45</xdr:row>
      <xdr:rowOff>80282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F178222-1392-9A62-8537-025E81032638}"/>
            </a:ext>
          </a:extLst>
        </xdr:cNvPr>
        <xdr:cNvCxnSpPr/>
      </xdr:nvCxnSpPr>
      <xdr:spPr>
        <a:xfrm flipV="1">
          <a:off x="26965275" y="7112454"/>
          <a:ext cx="612322" cy="3837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666235</xdr:colOff>
      <xdr:row>3</xdr:row>
      <xdr:rowOff>6729</xdr:rowOff>
    </xdr:from>
    <xdr:to>
      <xdr:col>24</xdr:col>
      <xdr:colOff>301834</xdr:colOff>
      <xdr:row>25</xdr:row>
      <xdr:rowOff>67235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D96946C-BB7E-F224-E378-DFA6F54E1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544285</xdr:colOff>
      <xdr:row>53</xdr:row>
      <xdr:rowOff>81642</xdr:rowOff>
    </xdr:from>
    <xdr:to>
      <xdr:col>37</xdr:col>
      <xdr:colOff>231320</xdr:colOff>
      <xdr:row>56</xdr:row>
      <xdr:rowOff>95250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AA6C160-7FA1-0020-C242-837F57902410}"/>
            </a:ext>
          </a:extLst>
        </xdr:cNvPr>
        <xdr:cNvCxnSpPr/>
      </xdr:nvCxnSpPr>
      <xdr:spPr>
        <a:xfrm>
          <a:off x="25785535" y="8803821"/>
          <a:ext cx="911678" cy="5034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0.05416</cdr:x>
      <cdr:y>0.71445</cdr:y>
    </cdr:from>
    <cdr:to>
      <cdr:x>0.15477</cdr:x>
      <cdr:y>0.77262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04459DC2-E4B9-D582-EEF4-CF30CA489FB5}"/>
            </a:ext>
          </a:extLst>
        </cdr:cNvPr>
        <cdr:cNvSpPr/>
      </cdr:nvSpPr>
      <cdr:spPr>
        <a:xfrm xmlns:a="http://schemas.openxmlformats.org/drawingml/2006/main">
          <a:off x="784225" y="8394700"/>
          <a:ext cx="1456765" cy="683559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Buy 107</a:t>
          </a:r>
          <a:r>
            <a:rPr lang="en-US" kern="1200" baseline="0"/>
            <a:t> shares from IFT at 9.28$ per share on 2/1/2024</a:t>
          </a:r>
          <a:endParaRPr lang="en-US" kern="1200"/>
        </a:p>
      </cdr:txBody>
    </cdr:sp>
  </cdr:relSizeAnchor>
  <cdr:relSizeAnchor xmlns:cdr="http://schemas.openxmlformats.org/drawingml/2006/chartDrawing">
    <cdr:from>
      <cdr:x>0.37912</cdr:x>
      <cdr:y>0.68445</cdr:y>
    </cdr:from>
    <cdr:to>
      <cdr:x>0.47973</cdr:x>
      <cdr:y>0.74263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04459DC2-E4B9-D582-EEF4-CF30CA489FB5}"/>
            </a:ext>
          </a:extLst>
        </cdr:cNvPr>
        <cdr:cNvSpPr/>
      </cdr:nvSpPr>
      <cdr:spPr>
        <a:xfrm xmlns:a="http://schemas.openxmlformats.org/drawingml/2006/main">
          <a:off x="5489575" y="8042275"/>
          <a:ext cx="1456765" cy="683559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Buy 118</a:t>
          </a:r>
          <a:r>
            <a:rPr lang="en-US" kern="1200" baseline="0"/>
            <a:t> shares from IFT at 9.48$ per share on 14/5/2024</a:t>
          </a:r>
          <a:endParaRPr lang="en-US" kern="1200"/>
        </a:p>
      </cdr:txBody>
    </cdr:sp>
  </cdr:relSizeAnchor>
  <cdr:relSizeAnchor xmlns:cdr="http://schemas.openxmlformats.org/drawingml/2006/chartDrawing">
    <cdr:from>
      <cdr:x>0.89222</cdr:x>
      <cdr:y>0.46477</cdr:y>
    </cdr:from>
    <cdr:to>
      <cdr:x>0.99282</cdr:x>
      <cdr:y>0.52294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04459DC2-E4B9-D582-EEF4-CF30CA489FB5}"/>
            </a:ext>
          </a:extLst>
        </cdr:cNvPr>
        <cdr:cNvSpPr/>
      </cdr:nvSpPr>
      <cdr:spPr>
        <a:xfrm xmlns:a="http://schemas.openxmlformats.org/drawingml/2006/main">
          <a:off x="12919075" y="5461000"/>
          <a:ext cx="1456765" cy="683559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Buy 149</a:t>
          </a:r>
          <a:r>
            <a:rPr lang="en-US" kern="1200" baseline="0"/>
            <a:t> shares from IFT at 10.87$ per share on 12/12/2024</a:t>
          </a:r>
          <a:endParaRPr lang="en-US" kern="1200"/>
        </a:p>
      </cdr:txBody>
    </cdr:sp>
  </cdr:relSizeAnchor>
  <cdr:relSizeAnchor xmlns:cdr="http://schemas.openxmlformats.org/drawingml/2006/chartDrawing">
    <cdr:from>
      <cdr:x>0.59225</cdr:x>
      <cdr:y>0.69337</cdr:y>
    </cdr:from>
    <cdr:to>
      <cdr:x>0.69286</cdr:x>
      <cdr:y>0.75155</cdr:y>
    </cdr:to>
    <cdr:sp macro="" textlink="">
      <cdr:nvSpPr>
        <cdr:cNvPr id="5" name="Rectangle: Rounded Corners 4">
          <a:extLst xmlns:a="http://schemas.openxmlformats.org/drawingml/2006/main">
            <a:ext uri="{FF2B5EF4-FFF2-40B4-BE49-F238E27FC236}">
              <a16:creationId xmlns:a16="http://schemas.microsoft.com/office/drawing/2014/main" id="{04459DC2-E4B9-D582-EEF4-CF30CA489FB5}"/>
            </a:ext>
          </a:extLst>
        </cdr:cNvPr>
        <cdr:cNvSpPr/>
      </cdr:nvSpPr>
      <cdr:spPr>
        <a:xfrm xmlns:a="http://schemas.openxmlformats.org/drawingml/2006/main">
          <a:off x="8575675" y="8147050"/>
          <a:ext cx="1456765" cy="683559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Buy 133</a:t>
          </a:r>
          <a:r>
            <a:rPr lang="en-US" kern="1200" baseline="0"/>
            <a:t> shares from IFT at 9.54$ per share on 5/8/2024</a:t>
          </a:r>
          <a:endParaRPr lang="en-US" kern="1200"/>
        </a:p>
      </cdr:txBody>
    </cdr:sp>
  </cdr:relSizeAnchor>
  <cdr:relSizeAnchor xmlns:cdr="http://schemas.openxmlformats.org/drawingml/2006/chartDrawing">
    <cdr:from>
      <cdr:x>0.2719</cdr:x>
      <cdr:y>0.39019</cdr:y>
    </cdr:from>
    <cdr:to>
      <cdr:x>0.3711</cdr:x>
      <cdr:y>0.44856</cdr:y>
    </cdr:to>
    <cdr:sp macro="" textlink="">
      <cdr:nvSpPr>
        <cdr:cNvPr id="6" name="Rectangle: Rounded Corners 5">
          <a:extLst xmlns:a="http://schemas.openxmlformats.org/drawingml/2006/main">
            <a:ext uri="{FF2B5EF4-FFF2-40B4-BE49-F238E27FC236}">
              <a16:creationId xmlns:a16="http://schemas.microsoft.com/office/drawing/2014/main" id="{2129F6BE-2CB4-5965-6290-DF2721D039E6}"/>
            </a:ext>
          </a:extLst>
        </cdr:cNvPr>
        <cdr:cNvSpPr/>
      </cdr:nvSpPr>
      <cdr:spPr>
        <a:xfrm xmlns:a="http://schemas.openxmlformats.org/drawingml/2006/main">
          <a:off x="3937000" y="4584700"/>
          <a:ext cx="1436509" cy="685804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Sell 107</a:t>
          </a:r>
          <a:r>
            <a:rPr lang="en-US" kern="1200" baseline="0"/>
            <a:t> shares from IFT at 10.20$ per share on 11/4/2024</a:t>
          </a:r>
          <a:endParaRPr lang="en-US" kern="1200"/>
        </a:p>
      </cdr:txBody>
    </cdr:sp>
  </cdr:relSizeAnchor>
  <cdr:relSizeAnchor xmlns:cdr="http://schemas.openxmlformats.org/drawingml/2006/chartDrawing">
    <cdr:from>
      <cdr:x>0.42254</cdr:x>
      <cdr:y>0.3075</cdr:y>
    </cdr:from>
    <cdr:to>
      <cdr:x>0.52174</cdr:x>
      <cdr:y>0.36587</cdr:y>
    </cdr:to>
    <cdr:sp macro="" textlink="">
      <cdr:nvSpPr>
        <cdr:cNvPr id="7" name="Rectangle: Rounded Corners 6">
          <a:extLst xmlns:a="http://schemas.openxmlformats.org/drawingml/2006/main">
            <a:ext uri="{FF2B5EF4-FFF2-40B4-BE49-F238E27FC236}">
              <a16:creationId xmlns:a16="http://schemas.microsoft.com/office/drawing/2014/main" id="{2129F6BE-2CB4-5965-6290-DF2721D039E6}"/>
            </a:ext>
          </a:extLst>
        </cdr:cNvPr>
        <cdr:cNvSpPr/>
      </cdr:nvSpPr>
      <cdr:spPr>
        <a:xfrm xmlns:a="http://schemas.openxmlformats.org/drawingml/2006/main">
          <a:off x="6118225" y="3613150"/>
          <a:ext cx="1436509" cy="685804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Sell 118</a:t>
          </a:r>
          <a:r>
            <a:rPr lang="en-US" kern="1200" baseline="0"/>
            <a:t> shares from IFT at 10.61$ per share on 6/6/2024</a:t>
          </a:r>
          <a:endParaRPr lang="en-US" kern="1200"/>
        </a:p>
      </cdr:txBody>
    </cdr:sp>
  </cdr:relSizeAnchor>
  <cdr:relSizeAnchor xmlns:cdr="http://schemas.openxmlformats.org/drawingml/2006/chartDrawing">
    <cdr:from>
      <cdr:x>0.75144</cdr:x>
      <cdr:y>0.06107</cdr:y>
    </cdr:from>
    <cdr:to>
      <cdr:x>0.85065</cdr:x>
      <cdr:y>0.11944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2129F6BE-2CB4-5965-6290-DF2721D039E6}"/>
            </a:ext>
          </a:extLst>
        </cdr:cNvPr>
        <cdr:cNvSpPr/>
      </cdr:nvSpPr>
      <cdr:spPr>
        <a:xfrm xmlns:a="http://schemas.openxmlformats.org/drawingml/2006/main">
          <a:off x="10880725" y="717550"/>
          <a:ext cx="1436509" cy="685804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Sell 133</a:t>
          </a:r>
          <a:r>
            <a:rPr lang="en-US" kern="1200" baseline="0"/>
            <a:t> shares from IFT at 11.97$ per share on 29/10/2024</a:t>
          </a:r>
          <a:endParaRPr lang="en-US" kern="1200"/>
        </a:p>
      </cdr:txBody>
    </cdr:sp>
  </cdr:relSizeAnchor>
  <cdr:relSizeAnchor xmlns:cdr="http://schemas.openxmlformats.org/drawingml/2006/chartDrawing">
    <cdr:from>
      <cdr:x>0.89748</cdr:x>
      <cdr:y>0.10241</cdr:y>
    </cdr:from>
    <cdr:to>
      <cdr:x>0.99877</cdr:x>
      <cdr:y>0.16201</cdr:y>
    </cdr:to>
    <cdr:sp macro="" textlink="">
      <cdr:nvSpPr>
        <cdr:cNvPr id="9" name="Rectangle: Rounded Corners 8">
          <a:extLst xmlns:a="http://schemas.openxmlformats.org/drawingml/2006/main">
            <a:ext uri="{FF2B5EF4-FFF2-40B4-BE49-F238E27FC236}">
              <a16:creationId xmlns:a16="http://schemas.microsoft.com/office/drawing/2014/main" id="{2129F6BE-2CB4-5965-6290-DF2721D039E6}"/>
            </a:ext>
          </a:extLst>
        </cdr:cNvPr>
        <cdr:cNvSpPr/>
      </cdr:nvSpPr>
      <cdr:spPr>
        <a:xfrm xmlns:a="http://schemas.openxmlformats.org/drawingml/2006/main">
          <a:off x="12995275" y="1203325"/>
          <a:ext cx="1466747" cy="70024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kern="1200"/>
            <a:t>Sell 149</a:t>
          </a:r>
          <a:r>
            <a:rPr lang="en-US" kern="1200" baseline="0"/>
            <a:t> shares from IFT at 11.97$ per share on 31/12/2024</a:t>
          </a:r>
          <a:endParaRPr lang="en-US" kern="1200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0.08039</cdr:x>
      <cdr:y>0.10419</cdr:y>
    </cdr:from>
    <cdr:to>
      <cdr:x>0.18382</cdr:x>
      <cdr:y>0.14282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2FE75817-8AA4-37F4-B450-8FC19FADC3B0}"/>
            </a:ext>
          </a:extLst>
        </cdr:cNvPr>
        <cdr:cNvSpPr/>
      </cdr:nvSpPr>
      <cdr:spPr>
        <a:xfrm xmlns:a="http://schemas.openxmlformats.org/drawingml/2006/main">
          <a:off x="747714" y="822011"/>
          <a:ext cx="962026" cy="304800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900" kern="1200"/>
            <a:t>First</a:t>
          </a:r>
          <a:r>
            <a:rPr lang="en-US" sz="900" kern="1200" baseline="0"/>
            <a:t> Trade</a:t>
          </a:r>
          <a:endParaRPr lang="en-US" sz="900" kern="1200"/>
        </a:p>
      </cdr:txBody>
    </cdr:sp>
  </cdr:relSizeAnchor>
  <cdr:relSizeAnchor xmlns:cdr="http://schemas.openxmlformats.org/drawingml/2006/chartDrawing">
    <cdr:from>
      <cdr:x>0.32702</cdr:x>
      <cdr:y>0.10423</cdr:y>
    </cdr:from>
    <cdr:to>
      <cdr:x>0.45315</cdr:x>
      <cdr:y>0.1435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D28B2988-A0EC-19B4-CD82-0A4572D0FE61}"/>
            </a:ext>
          </a:extLst>
        </cdr:cNvPr>
        <cdr:cNvSpPr/>
      </cdr:nvSpPr>
      <cdr:spPr>
        <a:xfrm xmlns:a="http://schemas.openxmlformats.org/drawingml/2006/main">
          <a:off x="3041650" y="822324"/>
          <a:ext cx="1173164" cy="309831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kern="1200"/>
            <a:t>Second</a:t>
          </a:r>
          <a:r>
            <a:rPr lang="en-US" sz="900" kern="1200" baseline="0"/>
            <a:t> Trade</a:t>
          </a:r>
          <a:endParaRPr lang="en-US" sz="900" kern="1200"/>
        </a:p>
      </cdr:txBody>
    </cdr:sp>
  </cdr:relSizeAnchor>
  <cdr:relSizeAnchor xmlns:cdr="http://schemas.openxmlformats.org/drawingml/2006/chartDrawing">
    <cdr:from>
      <cdr:x>0.57382</cdr:x>
      <cdr:y>0.10061</cdr:y>
    </cdr:from>
    <cdr:to>
      <cdr:x>0.69995</cdr:x>
      <cdr:y>0.13988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A3C79007-D82A-520E-2C98-6C7A0C42D1D1}"/>
            </a:ext>
          </a:extLst>
        </cdr:cNvPr>
        <cdr:cNvSpPr/>
      </cdr:nvSpPr>
      <cdr:spPr>
        <a:xfrm xmlns:a="http://schemas.openxmlformats.org/drawingml/2006/main">
          <a:off x="5337175" y="793750"/>
          <a:ext cx="1173164" cy="309831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kern="1200"/>
            <a:t>Third</a:t>
          </a:r>
          <a:r>
            <a:rPr lang="en-US" sz="900" kern="1200" baseline="0"/>
            <a:t> Trade</a:t>
          </a:r>
          <a:endParaRPr lang="en-US" sz="900" kern="1200"/>
        </a:p>
      </cdr:txBody>
    </cdr:sp>
  </cdr:relSizeAnchor>
  <cdr:relSizeAnchor xmlns:cdr="http://schemas.openxmlformats.org/drawingml/2006/chartDrawing">
    <cdr:from>
      <cdr:x>0.7858</cdr:x>
      <cdr:y>0.10302</cdr:y>
    </cdr:from>
    <cdr:to>
      <cdr:x>0.91193</cdr:x>
      <cdr:y>0.14229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A3A40203-3C86-EBAA-B6E0-BDCAC440D556}"/>
            </a:ext>
          </a:extLst>
        </cdr:cNvPr>
        <cdr:cNvSpPr/>
      </cdr:nvSpPr>
      <cdr:spPr>
        <a:xfrm xmlns:a="http://schemas.openxmlformats.org/drawingml/2006/main">
          <a:off x="7308850" y="812800"/>
          <a:ext cx="1173164" cy="309831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kern="1200"/>
            <a:t>Last</a:t>
          </a:r>
          <a:r>
            <a:rPr lang="en-US" sz="900" kern="1200" baseline="0"/>
            <a:t> Trade</a:t>
          </a:r>
          <a:endParaRPr lang="en-US" sz="900" kern="1200"/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0.30175</cdr:x>
      <cdr:y>0.11563</cdr:y>
    </cdr:from>
    <cdr:to>
      <cdr:x>0.59993</cdr:x>
      <cdr:y>0.37023</cdr:y>
    </cdr:to>
    <cdr:sp macro="" textlink="">
      <cdr:nvSpPr>
        <cdr:cNvPr id="2" name="Star: 12 Points 1">
          <a:extLst xmlns:a="http://schemas.openxmlformats.org/drawingml/2006/main">
            <a:ext uri="{FF2B5EF4-FFF2-40B4-BE49-F238E27FC236}">
              <a16:creationId xmlns:a16="http://schemas.microsoft.com/office/drawing/2014/main" id="{718F0E40-468A-57A2-9F5D-89972C9EC38F}"/>
            </a:ext>
          </a:extLst>
        </cdr:cNvPr>
        <cdr:cNvSpPr/>
      </cdr:nvSpPr>
      <cdr:spPr>
        <a:xfrm xmlns:a="http://schemas.openxmlformats.org/drawingml/2006/main">
          <a:off x="1672027" y="407378"/>
          <a:ext cx="1652232" cy="896981"/>
        </a:xfrm>
        <a:prstGeom xmlns:a="http://schemas.openxmlformats.org/drawingml/2006/main" prst="star12">
          <a:avLst/>
        </a:prstGeom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kern="1200"/>
            <a:t>175.66%</a:t>
          </a:r>
        </a:p>
        <a:p xmlns:a="http://schemas.openxmlformats.org/drawingml/2006/main">
          <a:pPr algn="ctr"/>
          <a:r>
            <a:rPr lang="en-US" kern="1200"/>
            <a:t>Profit!!!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B8A0-6FAC-4368-B116-DB7653BE2710}">
  <dimension ref="A1:J255"/>
  <sheetViews>
    <sheetView workbookViewId="0">
      <selection activeCell="L14" sqref="L14"/>
    </sheetView>
  </sheetViews>
  <sheetFormatPr defaultColWidth="8.85546875" defaultRowHeight="15" customHeight="1" x14ac:dyDescent="0.2"/>
  <cols>
    <col min="1" max="1" width="15.28515625" customWidth="1"/>
    <col min="2" max="2" width="19" style="4" customWidth="1"/>
    <col min="3" max="6" width="19" style="9" customWidth="1"/>
    <col min="7" max="7" width="19" style="1" customWidth="1"/>
    <col min="8" max="8" width="28.42578125" style="9" customWidth="1"/>
    <col min="9" max="10" width="19" style="1" customWidth="1"/>
  </cols>
  <sheetData>
    <row r="1" spans="1:10" ht="15" customHeight="1" x14ac:dyDescent="0.25">
      <c r="A1" s="2" t="s">
        <v>0</v>
      </c>
      <c r="B1" s="5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  <c r="H1" s="7" t="s">
        <v>7</v>
      </c>
      <c r="I1" s="2" t="s">
        <v>8</v>
      </c>
      <c r="J1" s="93"/>
    </row>
    <row r="2" spans="1:10" ht="15" customHeight="1" x14ac:dyDescent="0.2">
      <c r="A2" t="s">
        <v>9</v>
      </c>
      <c r="B2" s="4">
        <v>45293</v>
      </c>
      <c r="C2" s="8">
        <v>9.34</v>
      </c>
      <c r="D2" s="8">
        <v>9.3699999999999992</v>
      </c>
      <c r="E2" s="8">
        <v>9.2799999999999994</v>
      </c>
      <c r="F2" s="8">
        <v>9.2799999999999994</v>
      </c>
      <c r="G2" s="3">
        <v>3743</v>
      </c>
      <c r="H2" s="8">
        <v>7726.23</v>
      </c>
      <c r="I2" s="3">
        <v>832567631</v>
      </c>
      <c r="J2" s="3"/>
    </row>
    <row r="3" spans="1:10" ht="15" customHeight="1" x14ac:dyDescent="0.2">
      <c r="A3" t="s">
        <v>9</v>
      </c>
      <c r="B3" s="4">
        <v>45294</v>
      </c>
      <c r="C3" s="8">
        <v>9.31</v>
      </c>
      <c r="D3" s="8">
        <v>9.36</v>
      </c>
      <c r="E3" s="8">
        <v>9.23</v>
      </c>
      <c r="F3" s="8">
        <v>9.3000000000000007</v>
      </c>
      <c r="G3" s="3">
        <v>65418</v>
      </c>
      <c r="H3" s="8">
        <v>7742.88</v>
      </c>
      <c r="I3" s="3">
        <v>832567631</v>
      </c>
      <c r="J3" s="3"/>
    </row>
    <row r="4" spans="1:10" ht="15" customHeight="1" x14ac:dyDescent="0.2">
      <c r="A4" t="s">
        <v>9</v>
      </c>
      <c r="B4" s="4">
        <v>45295</v>
      </c>
      <c r="C4" s="8">
        <v>9.3000000000000007</v>
      </c>
      <c r="D4" s="8">
        <v>9.69</v>
      </c>
      <c r="E4" s="8">
        <v>9.3000000000000007</v>
      </c>
      <c r="F4" s="8">
        <v>9.69</v>
      </c>
      <c r="G4" s="3">
        <v>38435</v>
      </c>
      <c r="H4" s="8">
        <v>8067.58</v>
      </c>
      <c r="I4" s="3">
        <v>832567631</v>
      </c>
      <c r="J4" s="3"/>
    </row>
    <row r="5" spans="1:10" ht="15" customHeight="1" x14ac:dyDescent="0.2">
      <c r="A5" t="s">
        <v>9</v>
      </c>
      <c r="B5" s="4">
        <v>45296</v>
      </c>
      <c r="C5" s="8">
        <v>9.69</v>
      </c>
      <c r="D5" s="8">
        <v>9.69</v>
      </c>
      <c r="E5" s="8">
        <v>9.32</v>
      </c>
      <c r="F5" s="8">
        <v>9.34</v>
      </c>
      <c r="G5" s="3">
        <v>60329</v>
      </c>
      <c r="H5" s="8">
        <v>7776.18</v>
      </c>
      <c r="I5" s="3">
        <v>832567631</v>
      </c>
      <c r="J5" s="3"/>
    </row>
    <row r="6" spans="1:10" ht="15" customHeight="1" x14ac:dyDescent="0.2">
      <c r="A6" t="s">
        <v>9</v>
      </c>
      <c r="B6" s="4">
        <v>45299</v>
      </c>
      <c r="C6" s="8">
        <v>9.48</v>
      </c>
      <c r="D6" s="8">
        <v>9.5299999999999994</v>
      </c>
      <c r="E6" s="8">
        <v>9.36</v>
      </c>
      <c r="F6" s="8">
        <v>9.5299999999999994</v>
      </c>
      <c r="G6" s="3">
        <v>34215</v>
      </c>
      <c r="H6" s="8">
        <v>7934.37</v>
      </c>
      <c r="I6" s="3">
        <v>832567631</v>
      </c>
      <c r="J6" s="3"/>
    </row>
    <row r="7" spans="1:10" ht="15" customHeight="1" x14ac:dyDescent="0.2">
      <c r="A7" t="s">
        <v>9</v>
      </c>
      <c r="B7" s="4">
        <v>45300</v>
      </c>
      <c r="C7" s="8">
        <v>9.57</v>
      </c>
      <c r="D7" s="8">
        <v>9.57</v>
      </c>
      <c r="E7" s="8">
        <v>9.42</v>
      </c>
      <c r="F7" s="8">
        <v>9.51</v>
      </c>
      <c r="G7" s="3">
        <v>22803</v>
      </c>
      <c r="H7" s="8">
        <v>7917.72</v>
      </c>
      <c r="I7" s="3">
        <v>832567631</v>
      </c>
      <c r="J7" s="3"/>
    </row>
    <row r="8" spans="1:10" ht="15" customHeight="1" x14ac:dyDescent="0.2">
      <c r="A8" t="s">
        <v>9</v>
      </c>
      <c r="B8" s="4">
        <v>45301</v>
      </c>
      <c r="C8" s="8">
        <v>9.4499999999999993</v>
      </c>
      <c r="D8" s="8">
        <v>9.51</v>
      </c>
      <c r="E8" s="8">
        <v>9.3800000000000008</v>
      </c>
      <c r="F8" s="8">
        <v>9.4700000000000006</v>
      </c>
      <c r="G8" s="3">
        <v>25378</v>
      </c>
      <c r="H8" s="8">
        <v>7884.42</v>
      </c>
      <c r="I8" s="3">
        <v>832567631</v>
      </c>
      <c r="J8" s="3"/>
    </row>
    <row r="9" spans="1:10" ht="15" customHeight="1" x14ac:dyDescent="0.2">
      <c r="A9" t="s">
        <v>9</v>
      </c>
      <c r="B9" s="4">
        <v>45302</v>
      </c>
      <c r="C9" s="8">
        <v>9.49</v>
      </c>
      <c r="D9" s="8">
        <v>9.52</v>
      </c>
      <c r="E9" s="8">
        <v>9.4</v>
      </c>
      <c r="F9" s="8">
        <v>9.52</v>
      </c>
      <c r="G9" s="3">
        <v>24590</v>
      </c>
      <c r="H9" s="8">
        <v>7926.04</v>
      </c>
      <c r="I9" s="3">
        <v>832567631</v>
      </c>
      <c r="J9" s="3"/>
    </row>
    <row r="10" spans="1:10" ht="15" customHeight="1" x14ac:dyDescent="0.2">
      <c r="A10" t="s">
        <v>9</v>
      </c>
      <c r="B10" s="4">
        <v>45303</v>
      </c>
      <c r="C10" s="8">
        <v>9.6</v>
      </c>
      <c r="D10" s="8">
        <v>9.6</v>
      </c>
      <c r="E10" s="8">
        <v>9.44</v>
      </c>
      <c r="F10" s="8">
        <v>9.5500000000000007</v>
      </c>
      <c r="G10" s="3">
        <v>24201</v>
      </c>
      <c r="H10" s="8">
        <v>7951.02</v>
      </c>
      <c r="I10" s="3">
        <v>832567631</v>
      </c>
      <c r="J10" s="3"/>
    </row>
    <row r="11" spans="1:10" ht="15" customHeight="1" x14ac:dyDescent="0.2">
      <c r="A11" t="s">
        <v>9</v>
      </c>
      <c r="B11" s="4">
        <v>45306</v>
      </c>
      <c r="C11" s="8">
        <v>9.6</v>
      </c>
      <c r="D11" s="8">
        <v>9.6</v>
      </c>
      <c r="E11" s="8">
        <v>9.41</v>
      </c>
      <c r="F11" s="8">
        <v>9.4499999999999993</v>
      </c>
      <c r="G11" s="3">
        <v>41724</v>
      </c>
      <c r="H11" s="8">
        <v>7867.76</v>
      </c>
      <c r="I11" s="3">
        <v>832567631</v>
      </c>
      <c r="J11" s="3"/>
    </row>
    <row r="12" spans="1:10" ht="15" customHeight="1" x14ac:dyDescent="0.2">
      <c r="A12" t="s">
        <v>9</v>
      </c>
      <c r="B12" s="4">
        <v>45307</v>
      </c>
      <c r="C12" s="8">
        <v>9.4600000000000009</v>
      </c>
      <c r="D12" s="8">
        <v>9.5399999999999991</v>
      </c>
      <c r="E12" s="8">
        <v>9.4</v>
      </c>
      <c r="F12" s="8">
        <v>9.48</v>
      </c>
      <c r="G12" s="3">
        <v>18242</v>
      </c>
      <c r="H12" s="8">
        <v>7892.74</v>
      </c>
      <c r="I12" s="3">
        <v>832567631</v>
      </c>
      <c r="J12" s="3"/>
    </row>
    <row r="13" spans="1:10" ht="15" customHeight="1" x14ac:dyDescent="0.2">
      <c r="A13" t="s">
        <v>9</v>
      </c>
      <c r="B13" s="4">
        <v>45308</v>
      </c>
      <c r="C13" s="8">
        <v>9.4600000000000009</v>
      </c>
      <c r="D13" s="8">
        <v>9.6</v>
      </c>
      <c r="E13" s="8">
        <v>9.36</v>
      </c>
      <c r="F13" s="8">
        <v>9.36</v>
      </c>
      <c r="G13" s="3">
        <v>20617</v>
      </c>
      <c r="H13" s="8">
        <v>7792.83</v>
      </c>
      <c r="I13" s="3">
        <v>832567631</v>
      </c>
      <c r="J13" s="3"/>
    </row>
    <row r="14" spans="1:10" ht="15" customHeight="1" x14ac:dyDescent="0.2">
      <c r="A14" t="s">
        <v>9</v>
      </c>
      <c r="B14" s="4">
        <v>45309</v>
      </c>
      <c r="C14" s="8">
        <v>9.5</v>
      </c>
      <c r="D14" s="8">
        <v>9.61</v>
      </c>
      <c r="E14" s="8">
        <v>9.5</v>
      </c>
      <c r="F14" s="8">
        <v>9.56</v>
      </c>
      <c r="G14" s="3">
        <v>35375</v>
      </c>
      <c r="H14" s="8">
        <v>7959.35</v>
      </c>
      <c r="I14" s="3">
        <v>832567631</v>
      </c>
      <c r="J14" s="3"/>
    </row>
    <row r="15" spans="1:10" ht="15" customHeight="1" x14ac:dyDescent="0.2">
      <c r="A15" t="s">
        <v>9</v>
      </c>
      <c r="B15" s="4">
        <v>45310</v>
      </c>
      <c r="C15" s="8">
        <v>9.5500000000000007</v>
      </c>
      <c r="D15" s="8">
        <v>9.5500000000000007</v>
      </c>
      <c r="E15" s="8">
        <v>9.3699999999999992</v>
      </c>
      <c r="F15" s="8">
        <v>9.4</v>
      </c>
      <c r="G15" s="3">
        <v>36371</v>
      </c>
      <c r="H15" s="8">
        <v>7826.14</v>
      </c>
      <c r="I15" s="3">
        <v>832567631</v>
      </c>
      <c r="J15" s="3"/>
    </row>
    <row r="16" spans="1:10" ht="15" customHeight="1" x14ac:dyDescent="0.2">
      <c r="A16" t="s">
        <v>9</v>
      </c>
      <c r="B16" s="4">
        <v>45313</v>
      </c>
      <c r="C16" s="8">
        <v>9.5</v>
      </c>
      <c r="D16" s="8">
        <v>9.5500000000000007</v>
      </c>
      <c r="E16" s="8">
        <v>9.3699999999999992</v>
      </c>
      <c r="F16" s="8">
        <v>9.5299999999999994</v>
      </c>
      <c r="G16" s="3">
        <v>15601</v>
      </c>
      <c r="H16" s="8">
        <v>7934.37</v>
      </c>
      <c r="I16" s="3">
        <v>832567631</v>
      </c>
      <c r="J16" s="3"/>
    </row>
    <row r="17" spans="1:10" ht="15" customHeight="1" x14ac:dyDescent="0.2">
      <c r="A17" t="s">
        <v>9</v>
      </c>
      <c r="B17" s="4">
        <v>45314</v>
      </c>
      <c r="C17" s="8">
        <v>9.5299999999999994</v>
      </c>
      <c r="D17" s="8">
        <v>9.7200000000000006</v>
      </c>
      <c r="E17" s="8">
        <v>9.48</v>
      </c>
      <c r="F17" s="8">
        <v>9.65</v>
      </c>
      <c r="G17" s="3">
        <v>47914</v>
      </c>
      <c r="H17" s="8">
        <v>8034.28</v>
      </c>
      <c r="I17" s="3">
        <v>832567631</v>
      </c>
      <c r="J17" s="3"/>
    </row>
    <row r="18" spans="1:10" ht="15" customHeight="1" x14ac:dyDescent="0.2">
      <c r="A18" t="s">
        <v>9</v>
      </c>
      <c r="B18" s="4">
        <v>45315</v>
      </c>
      <c r="C18" s="8">
        <v>9.65</v>
      </c>
      <c r="D18" s="8">
        <v>9.7100000000000009</v>
      </c>
      <c r="E18" s="8">
        <v>9.6</v>
      </c>
      <c r="F18" s="8">
        <v>9.6</v>
      </c>
      <c r="G18" s="3">
        <v>14188</v>
      </c>
      <c r="H18" s="8">
        <v>7992.65</v>
      </c>
      <c r="I18" s="3">
        <v>832567631</v>
      </c>
      <c r="J18" s="3"/>
    </row>
    <row r="19" spans="1:10" ht="15" customHeight="1" x14ac:dyDescent="0.2">
      <c r="A19" t="s">
        <v>9</v>
      </c>
      <c r="B19" s="4">
        <v>45316</v>
      </c>
      <c r="C19" s="8">
        <v>9.6300000000000008</v>
      </c>
      <c r="D19" s="8">
        <v>9.94</v>
      </c>
      <c r="E19" s="8">
        <v>9.6300000000000008</v>
      </c>
      <c r="F19" s="8">
        <v>9.64</v>
      </c>
      <c r="G19" s="3">
        <v>28577</v>
      </c>
      <c r="H19" s="8">
        <v>8025.95</v>
      </c>
      <c r="I19" s="3">
        <v>832567631</v>
      </c>
      <c r="J19" s="3"/>
    </row>
    <row r="20" spans="1:10" ht="15" customHeight="1" x14ac:dyDescent="0.2">
      <c r="A20" t="s">
        <v>9</v>
      </c>
      <c r="B20" s="4">
        <v>45320</v>
      </c>
      <c r="C20" s="8">
        <v>9.7200000000000006</v>
      </c>
      <c r="D20" s="8">
        <v>10.23</v>
      </c>
      <c r="E20" s="8">
        <v>9.7200000000000006</v>
      </c>
      <c r="F20" s="8">
        <v>10.09</v>
      </c>
      <c r="G20" s="3">
        <v>101838</v>
      </c>
      <c r="H20" s="8">
        <v>8400.61</v>
      </c>
      <c r="I20" s="3">
        <v>832567631</v>
      </c>
      <c r="J20" s="3"/>
    </row>
    <row r="21" spans="1:10" ht="15" customHeight="1" x14ac:dyDescent="0.2">
      <c r="A21" t="s">
        <v>9</v>
      </c>
      <c r="B21" s="4">
        <v>45321</v>
      </c>
      <c r="C21" s="8">
        <v>10.16</v>
      </c>
      <c r="D21" s="8">
        <v>10.16</v>
      </c>
      <c r="E21" s="8">
        <v>9.9</v>
      </c>
      <c r="F21" s="8">
        <v>9.9700000000000006</v>
      </c>
      <c r="G21" s="3">
        <v>60971</v>
      </c>
      <c r="H21" s="8">
        <v>8300.7000000000007</v>
      </c>
      <c r="I21" s="3">
        <v>832567631</v>
      </c>
      <c r="J21" s="3"/>
    </row>
    <row r="22" spans="1:10" ht="15" customHeight="1" x14ac:dyDescent="0.2">
      <c r="A22" t="s">
        <v>9</v>
      </c>
      <c r="B22" s="4">
        <v>45322</v>
      </c>
      <c r="C22" s="8">
        <v>9.98</v>
      </c>
      <c r="D22" s="8">
        <v>9.98</v>
      </c>
      <c r="E22" s="8">
        <v>9.81</v>
      </c>
      <c r="F22" s="8">
        <v>9.8800000000000008</v>
      </c>
      <c r="G22" s="3">
        <v>194006</v>
      </c>
      <c r="H22" s="8">
        <v>8225.77</v>
      </c>
      <c r="I22" s="3">
        <v>832567631</v>
      </c>
      <c r="J22" s="3"/>
    </row>
    <row r="23" spans="1:10" ht="15" customHeight="1" x14ac:dyDescent="0.2">
      <c r="A23" t="s">
        <v>9</v>
      </c>
      <c r="B23" s="4">
        <v>45323</v>
      </c>
      <c r="C23" s="8">
        <v>9.92</v>
      </c>
      <c r="D23" s="8">
        <v>10</v>
      </c>
      <c r="E23" s="8">
        <v>9.77</v>
      </c>
      <c r="F23" s="8">
        <v>9.9499999999999993</v>
      </c>
      <c r="G23" s="3">
        <v>30892</v>
      </c>
      <c r="H23" s="8">
        <v>8284.0499999999993</v>
      </c>
      <c r="I23" s="3">
        <v>832567631</v>
      </c>
      <c r="J23" s="3"/>
    </row>
    <row r="24" spans="1:10" ht="15" customHeight="1" x14ac:dyDescent="0.2">
      <c r="A24" t="s">
        <v>9</v>
      </c>
      <c r="B24" s="4">
        <v>45324</v>
      </c>
      <c r="C24" s="8">
        <v>10.15</v>
      </c>
      <c r="D24" s="8">
        <v>10.15</v>
      </c>
      <c r="E24" s="8">
        <v>9.81</v>
      </c>
      <c r="F24" s="8">
        <v>9.8699999999999992</v>
      </c>
      <c r="G24" s="3">
        <v>69261</v>
      </c>
      <c r="H24" s="8">
        <v>8217.44</v>
      </c>
      <c r="I24" s="3">
        <v>832567631</v>
      </c>
      <c r="J24" s="3"/>
    </row>
    <row r="25" spans="1:10" ht="15" customHeight="1" x14ac:dyDescent="0.2">
      <c r="A25" t="s">
        <v>9</v>
      </c>
      <c r="B25" s="4">
        <v>45327</v>
      </c>
      <c r="C25" s="8">
        <v>9.93</v>
      </c>
      <c r="D25" s="8">
        <v>9.93</v>
      </c>
      <c r="E25" s="8">
        <v>9.77</v>
      </c>
      <c r="F25" s="8">
        <v>9.92</v>
      </c>
      <c r="G25" s="3">
        <v>34036</v>
      </c>
      <c r="H25" s="8">
        <v>8259.07</v>
      </c>
      <c r="I25" s="3">
        <v>832567631</v>
      </c>
      <c r="J25" s="3"/>
    </row>
    <row r="26" spans="1:10" ht="15" customHeight="1" x14ac:dyDescent="0.2">
      <c r="A26" t="s">
        <v>9</v>
      </c>
      <c r="B26" s="4">
        <v>45328</v>
      </c>
      <c r="C26" s="8">
        <v>9.93</v>
      </c>
      <c r="D26" s="8">
        <v>9.93</v>
      </c>
      <c r="E26" s="8">
        <v>9.85</v>
      </c>
      <c r="F26" s="8">
        <v>9.92</v>
      </c>
      <c r="G26" s="3">
        <v>25472</v>
      </c>
      <c r="H26" s="8">
        <v>8259.07</v>
      </c>
      <c r="I26" s="3">
        <v>832567631</v>
      </c>
      <c r="J26" s="3"/>
    </row>
    <row r="27" spans="1:10" ht="15" customHeight="1" x14ac:dyDescent="0.2">
      <c r="A27" t="s">
        <v>9</v>
      </c>
      <c r="B27" s="4">
        <v>45329</v>
      </c>
      <c r="C27" s="8">
        <v>9.89</v>
      </c>
      <c r="D27" s="8">
        <v>9.9849999999999994</v>
      </c>
      <c r="E27" s="8">
        <v>9.8800000000000008</v>
      </c>
      <c r="F27" s="8">
        <v>9.93</v>
      </c>
      <c r="G27" s="3">
        <v>45618</v>
      </c>
      <c r="H27" s="8">
        <v>8267.4</v>
      </c>
      <c r="I27" s="3">
        <v>832567631</v>
      </c>
      <c r="J27" s="3"/>
    </row>
    <row r="28" spans="1:10" ht="15" customHeight="1" x14ac:dyDescent="0.2">
      <c r="A28" t="s">
        <v>9</v>
      </c>
      <c r="B28" s="4">
        <v>45330</v>
      </c>
      <c r="C28" s="8">
        <v>10.029999999999999</v>
      </c>
      <c r="D28" s="8">
        <v>10.029999999999999</v>
      </c>
      <c r="E28" s="8">
        <v>9.77</v>
      </c>
      <c r="F28" s="8">
        <v>9.81</v>
      </c>
      <c r="G28" s="3">
        <v>21405</v>
      </c>
      <c r="H28" s="8">
        <v>8167.49</v>
      </c>
      <c r="I28" s="3">
        <v>832567631</v>
      </c>
      <c r="J28" s="3"/>
    </row>
    <row r="29" spans="1:10" ht="15" customHeight="1" x14ac:dyDescent="0.2">
      <c r="A29" t="s">
        <v>9</v>
      </c>
      <c r="B29" s="4">
        <v>45331</v>
      </c>
      <c r="C29" s="8">
        <v>9.83</v>
      </c>
      <c r="D29" s="8">
        <v>10.11</v>
      </c>
      <c r="E29" s="8">
        <v>9.76</v>
      </c>
      <c r="F29" s="8">
        <v>10.11</v>
      </c>
      <c r="G29" s="3">
        <v>54642</v>
      </c>
      <c r="H29" s="8">
        <v>8417.26</v>
      </c>
      <c r="I29" s="3">
        <v>832567631</v>
      </c>
      <c r="J29" s="3"/>
    </row>
    <row r="30" spans="1:10" ht="15" customHeight="1" x14ac:dyDescent="0.2">
      <c r="A30" t="s">
        <v>9</v>
      </c>
      <c r="B30" s="4">
        <v>45334</v>
      </c>
      <c r="C30" s="8">
        <v>10.18</v>
      </c>
      <c r="D30" s="8">
        <v>10.18</v>
      </c>
      <c r="E30" s="8">
        <v>9.84</v>
      </c>
      <c r="F30" s="8">
        <v>9.8699999999999992</v>
      </c>
      <c r="G30" s="3">
        <v>49898</v>
      </c>
      <c r="H30" s="8">
        <v>8217.44</v>
      </c>
      <c r="I30" s="3">
        <v>832567631</v>
      </c>
      <c r="J30" s="3"/>
    </row>
    <row r="31" spans="1:10" ht="15" customHeight="1" x14ac:dyDescent="0.2">
      <c r="A31" t="s">
        <v>9</v>
      </c>
      <c r="B31" s="4">
        <v>45335</v>
      </c>
      <c r="C31" s="8">
        <v>9.91</v>
      </c>
      <c r="D31" s="8">
        <v>9.92</v>
      </c>
      <c r="E31" s="8">
        <v>9.77</v>
      </c>
      <c r="F31" s="8">
        <v>9.7799999999999994</v>
      </c>
      <c r="G31" s="3">
        <v>15402</v>
      </c>
      <c r="H31" s="8">
        <v>8142.51</v>
      </c>
      <c r="I31" s="3">
        <v>832567631</v>
      </c>
      <c r="J31" s="3"/>
    </row>
    <row r="32" spans="1:10" ht="15" customHeight="1" x14ac:dyDescent="0.2">
      <c r="A32" t="s">
        <v>9</v>
      </c>
      <c r="B32" s="4">
        <v>45336</v>
      </c>
      <c r="C32" s="8">
        <v>9.8000000000000007</v>
      </c>
      <c r="D32" s="8">
        <v>9.8000000000000007</v>
      </c>
      <c r="E32" s="8">
        <v>9.57</v>
      </c>
      <c r="F32" s="8">
        <v>9.6300000000000008</v>
      </c>
      <c r="G32" s="3">
        <v>46973</v>
      </c>
      <c r="H32" s="8">
        <v>8017.63</v>
      </c>
      <c r="I32" s="3">
        <v>832567631</v>
      </c>
      <c r="J32" s="3"/>
    </row>
    <row r="33" spans="1:10" ht="15" customHeight="1" x14ac:dyDescent="0.2">
      <c r="A33" t="s">
        <v>9</v>
      </c>
      <c r="B33" s="4">
        <v>45337</v>
      </c>
      <c r="C33" s="8">
        <v>9.68</v>
      </c>
      <c r="D33" s="8">
        <v>9.73</v>
      </c>
      <c r="E33" s="8">
        <v>9.57</v>
      </c>
      <c r="F33" s="8">
        <v>9.6300000000000008</v>
      </c>
      <c r="G33" s="3">
        <v>32112</v>
      </c>
      <c r="H33" s="8">
        <v>8017.63</v>
      </c>
      <c r="I33" s="3">
        <v>832567631</v>
      </c>
      <c r="J33" s="3"/>
    </row>
    <row r="34" spans="1:10" ht="15" customHeight="1" x14ac:dyDescent="0.2">
      <c r="A34" t="s">
        <v>9</v>
      </c>
      <c r="B34" s="4">
        <v>45338</v>
      </c>
      <c r="C34" s="8">
        <v>9.6300000000000008</v>
      </c>
      <c r="D34" s="8">
        <v>9.8800000000000008</v>
      </c>
      <c r="E34" s="8">
        <v>9.57</v>
      </c>
      <c r="F34" s="8">
        <v>9.8000000000000007</v>
      </c>
      <c r="G34" s="3">
        <v>52540</v>
      </c>
      <c r="H34" s="8">
        <v>8159.16</v>
      </c>
      <c r="I34" s="3">
        <v>832567631</v>
      </c>
      <c r="J34" s="3"/>
    </row>
    <row r="35" spans="1:10" ht="15" customHeight="1" x14ac:dyDescent="0.2">
      <c r="A35" t="s">
        <v>9</v>
      </c>
      <c r="B35" s="4">
        <v>45341</v>
      </c>
      <c r="C35" s="8">
        <v>9.7100000000000009</v>
      </c>
      <c r="D35" s="8">
        <v>9.7799999999999994</v>
      </c>
      <c r="E35" s="8">
        <v>9.5500000000000007</v>
      </c>
      <c r="F35" s="8">
        <v>9.5500000000000007</v>
      </c>
      <c r="G35" s="3">
        <v>24759</v>
      </c>
      <c r="H35" s="8">
        <v>7951.02</v>
      </c>
      <c r="I35" s="3">
        <v>832567631</v>
      </c>
      <c r="J35" s="3"/>
    </row>
    <row r="36" spans="1:10" ht="15" customHeight="1" x14ac:dyDescent="0.2">
      <c r="A36" t="s">
        <v>9</v>
      </c>
      <c r="B36" s="4">
        <v>45342</v>
      </c>
      <c r="C36" s="8">
        <v>9.66</v>
      </c>
      <c r="D36" s="8">
        <v>9.7200000000000006</v>
      </c>
      <c r="E36" s="8">
        <v>9.66</v>
      </c>
      <c r="F36" s="8">
        <v>9.7200000000000006</v>
      </c>
      <c r="G36" s="3">
        <v>9394</v>
      </c>
      <c r="H36" s="8">
        <v>8092.56</v>
      </c>
      <c r="I36" s="3">
        <v>832567631</v>
      </c>
      <c r="J36" s="3"/>
    </row>
    <row r="37" spans="1:10" ht="15" customHeight="1" x14ac:dyDescent="0.2">
      <c r="A37" t="s">
        <v>9</v>
      </c>
      <c r="B37" s="4">
        <v>45343</v>
      </c>
      <c r="C37" s="8">
        <v>9.76</v>
      </c>
      <c r="D37" s="8">
        <v>9.76</v>
      </c>
      <c r="E37" s="8">
        <v>9.5</v>
      </c>
      <c r="F37" s="8">
        <v>9.5</v>
      </c>
      <c r="G37" s="3">
        <v>40170</v>
      </c>
      <c r="H37" s="8">
        <v>7909.39</v>
      </c>
      <c r="I37" s="3">
        <v>832567631</v>
      </c>
      <c r="J37" s="3"/>
    </row>
    <row r="38" spans="1:10" ht="15" customHeight="1" x14ac:dyDescent="0.2">
      <c r="A38" t="s">
        <v>9</v>
      </c>
      <c r="B38" s="4">
        <v>45344</v>
      </c>
      <c r="C38" s="8">
        <v>9.6</v>
      </c>
      <c r="D38" s="8">
        <v>9.86</v>
      </c>
      <c r="E38" s="8">
        <v>9.6</v>
      </c>
      <c r="F38" s="8">
        <v>9.86</v>
      </c>
      <c r="G38" s="3">
        <v>2505371</v>
      </c>
      <c r="H38" s="8">
        <v>8209.1200000000008</v>
      </c>
      <c r="I38" s="3">
        <v>832567631</v>
      </c>
      <c r="J38" s="3"/>
    </row>
    <row r="39" spans="1:10" ht="15" customHeight="1" x14ac:dyDescent="0.2">
      <c r="A39" t="s">
        <v>9</v>
      </c>
      <c r="B39" s="4">
        <v>45345</v>
      </c>
      <c r="C39" s="8">
        <v>9.82</v>
      </c>
      <c r="D39" s="8">
        <v>9.82</v>
      </c>
      <c r="E39" s="8">
        <v>9.64</v>
      </c>
      <c r="F39" s="8">
        <v>9.67</v>
      </c>
      <c r="G39" s="3">
        <v>46783</v>
      </c>
      <c r="H39" s="8">
        <v>8050.93</v>
      </c>
      <c r="I39" s="3">
        <v>832567631</v>
      </c>
      <c r="J39" s="3"/>
    </row>
    <row r="40" spans="1:10" ht="15" customHeight="1" x14ac:dyDescent="0.2">
      <c r="A40" t="s">
        <v>9</v>
      </c>
      <c r="B40" s="4">
        <v>45348</v>
      </c>
      <c r="C40" s="8">
        <v>9.7799999999999994</v>
      </c>
      <c r="D40" s="8">
        <v>9.7799999999999994</v>
      </c>
      <c r="E40" s="8">
        <v>9.5</v>
      </c>
      <c r="F40" s="8">
        <v>9.6300000000000008</v>
      </c>
      <c r="G40" s="3">
        <v>84354</v>
      </c>
      <c r="H40" s="8">
        <v>8017.63</v>
      </c>
      <c r="I40" s="3">
        <v>832567631</v>
      </c>
      <c r="J40" s="3"/>
    </row>
    <row r="41" spans="1:10" ht="15" customHeight="1" x14ac:dyDescent="0.2">
      <c r="A41" t="s">
        <v>9</v>
      </c>
      <c r="B41" s="4">
        <v>45349</v>
      </c>
      <c r="C41" s="8">
        <v>9.6</v>
      </c>
      <c r="D41" s="8">
        <v>9.6199999999999992</v>
      </c>
      <c r="E41" s="8">
        <v>9.5</v>
      </c>
      <c r="F41" s="8">
        <v>9.52</v>
      </c>
      <c r="G41" s="3">
        <v>45999</v>
      </c>
      <c r="H41" s="8">
        <v>7926.04</v>
      </c>
      <c r="I41" s="3">
        <v>832567631</v>
      </c>
      <c r="J41" s="3"/>
    </row>
    <row r="42" spans="1:10" ht="15" customHeight="1" x14ac:dyDescent="0.2">
      <c r="A42" t="s">
        <v>9</v>
      </c>
      <c r="B42" s="4">
        <v>45350</v>
      </c>
      <c r="C42" s="8">
        <v>9.52</v>
      </c>
      <c r="D42" s="8">
        <v>9.7200000000000006</v>
      </c>
      <c r="E42" s="8">
        <v>9.52</v>
      </c>
      <c r="F42" s="8">
        <v>9.66</v>
      </c>
      <c r="G42" s="3">
        <v>45026</v>
      </c>
      <c r="H42" s="8">
        <v>8042.6</v>
      </c>
      <c r="I42" s="3">
        <v>832567631</v>
      </c>
      <c r="J42" s="3"/>
    </row>
    <row r="43" spans="1:10" ht="15" customHeight="1" x14ac:dyDescent="0.2">
      <c r="A43" t="s">
        <v>9</v>
      </c>
      <c r="B43" s="4">
        <v>45351</v>
      </c>
      <c r="C43" s="8">
        <v>9.58</v>
      </c>
      <c r="D43" s="8">
        <v>9.73</v>
      </c>
      <c r="E43" s="8">
        <v>9.5500000000000007</v>
      </c>
      <c r="F43" s="8">
        <v>9.7200000000000006</v>
      </c>
      <c r="G43" s="3">
        <v>145803</v>
      </c>
      <c r="H43" s="8">
        <v>8092.56</v>
      </c>
      <c r="I43" s="3">
        <v>832567631</v>
      </c>
      <c r="J43" s="3"/>
    </row>
    <row r="44" spans="1:10" ht="15" customHeight="1" x14ac:dyDescent="0.2">
      <c r="A44" t="s">
        <v>9</v>
      </c>
      <c r="B44" s="4">
        <v>45352</v>
      </c>
      <c r="C44" s="8">
        <v>9.7200000000000006</v>
      </c>
      <c r="D44" s="8">
        <v>9.73</v>
      </c>
      <c r="E44" s="8">
        <v>9.6</v>
      </c>
      <c r="F44" s="8">
        <v>9.6199999999999992</v>
      </c>
      <c r="G44" s="3">
        <v>53538</v>
      </c>
      <c r="H44" s="8">
        <v>8009.3</v>
      </c>
      <c r="I44" s="3">
        <v>832567631</v>
      </c>
      <c r="J44" s="3"/>
    </row>
    <row r="45" spans="1:10" ht="15" customHeight="1" x14ac:dyDescent="0.2">
      <c r="A45" t="s">
        <v>9</v>
      </c>
      <c r="B45" s="4">
        <v>45355</v>
      </c>
      <c r="C45" s="8">
        <v>9.7799999999999994</v>
      </c>
      <c r="D45" s="8">
        <v>9.7799999999999994</v>
      </c>
      <c r="E45" s="8">
        <v>9.5500000000000007</v>
      </c>
      <c r="F45" s="8">
        <v>9.7100000000000009</v>
      </c>
      <c r="G45" s="3">
        <v>54766</v>
      </c>
      <c r="H45" s="8">
        <v>8084.23</v>
      </c>
      <c r="I45" s="3">
        <v>832567631</v>
      </c>
      <c r="J45" s="3"/>
    </row>
    <row r="46" spans="1:10" ht="15" customHeight="1" x14ac:dyDescent="0.2">
      <c r="A46" t="s">
        <v>9</v>
      </c>
      <c r="B46" s="4">
        <v>45356</v>
      </c>
      <c r="C46" s="8">
        <v>9.67</v>
      </c>
      <c r="D46" s="8">
        <v>9.75</v>
      </c>
      <c r="E46" s="8">
        <v>9.52</v>
      </c>
      <c r="F46" s="8">
        <v>9.58</v>
      </c>
      <c r="G46" s="3">
        <v>66185</v>
      </c>
      <c r="H46" s="8">
        <v>7976</v>
      </c>
      <c r="I46" s="3">
        <v>832567631</v>
      </c>
      <c r="J46" s="3"/>
    </row>
    <row r="47" spans="1:10" ht="15" customHeight="1" x14ac:dyDescent="0.2">
      <c r="A47" t="s">
        <v>9</v>
      </c>
      <c r="B47" s="4">
        <v>45357</v>
      </c>
      <c r="C47" s="8">
        <v>9.65</v>
      </c>
      <c r="D47" s="8">
        <v>9.9</v>
      </c>
      <c r="E47" s="8">
        <v>9.61</v>
      </c>
      <c r="F47" s="8">
        <v>9.9</v>
      </c>
      <c r="G47" s="3">
        <v>23147</v>
      </c>
      <c r="H47" s="8">
        <v>8242.42</v>
      </c>
      <c r="I47" s="3">
        <v>832567631</v>
      </c>
      <c r="J47" s="3"/>
    </row>
    <row r="48" spans="1:10" ht="15" customHeight="1" x14ac:dyDescent="0.2">
      <c r="A48" t="s">
        <v>9</v>
      </c>
      <c r="B48" s="4">
        <v>45358</v>
      </c>
      <c r="C48" s="8">
        <v>9.9499999999999993</v>
      </c>
      <c r="D48" s="8">
        <v>9.9499999999999993</v>
      </c>
      <c r="E48" s="8">
        <v>9.81</v>
      </c>
      <c r="F48" s="8">
        <v>9.81</v>
      </c>
      <c r="G48" s="3">
        <v>32083</v>
      </c>
      <c r="H48" s="8">
        <v>8167.49</v>
      </c>
      <c r="I48" s="3">
        <v>832567631</v>
      </c>
      <c r="J48" s="3"/>
    </row>
    <row r="49" spans="1:10" ht="15" customHeight="1" x14ac:dyDescent="0.2">
      <c r="A49" t="s">
        <v>9</v>
      </c>
      <c r="B49" s="4">
        <v>45359</v>
      </c>
      <c r="C49" s="8">
        <v>9.82</v>
      </c>
      <c r="D49" s="8">
        <v>9.9600000000000009</v>
      </c>
      <c r="E49" s="8">
        <v>9.7799999999999994</v>
      </c>
      <c r="F49" s="8">
        <v>9.92</v>
      </c>
      <c r="G49" s="3">
        <v>16604</v>
      </c>
      <c r="H49" s="8">
        <v>8259.07</v>
      </c>
      <c r="I49" s="3">
        <v>832567631</v>
      </c>
      <c r="J49" s="3"/>
    </row>
    <row r="50" spans="1:10" ht="15" customHeight="1" x14ac:dyDescent="0.2">
      <c r="A50" t="s">
        <v>9</v>
      </c>
      <c r="B50" s="4">
        <v>45362</v>
      </c>
      <c r="C50" s="8">
        <v>9.8800000000000008</v>
      </c>
      <c r="D50" s="8">
        <v>9.9600000000000009</v>
      </c>
      <c r="E50" s="8">
        <v>9.7899999999999991</v>
      </c>
      <c r="F50" s="8">
        <v>9.9600000000000009</v>
      </c>
      <c r="G50" s="3">
        <v>51921</v>
      </c>
      <c r="H50" s="8">
        <v>8292.3700000000008</v>
      </c>
      <c r="I50" s="3">
        <v>832567631</v>
      </c>
      <c r="J50" s="3"/>
    </row>
    <row r="51" spans="1:10" ht="15" customHeight="1" x14ac:dyDescent="0.2">
      <c r="A51" t="s">
        <v>9</v>
      </c>
      <c r="B51" s="4">
        <v>45363</v>
      </c>
      <c r="C51" s="8">
        <v>9.9600000000000009</v>
      </c>
      <c r="D51" s="8">
        <v>9.9600000000000009</v>
      </c>
      <c r="E51" s="8">
        <v>9.75</v>
      </c>
      <c r="F51" s="8">
        <v>9.75</v>
      </c>
      <c r="G51" s="3">
        <v>36408</v>
      </c>
      <c r="H51" s="8">
        <v>8117.53</v>
      </c>
      <c r="I51" s="3">
        <v>832567631</v>
      </c>
      <c r="J51" s="3"/>
    </row>
    <row r="52" spans="1:10" ht="15" customHeight="1" x14ac:dyDescent="0.2">
      <c r="A52" t="s">
        <v>9</v>
      </c>
      <c r="B52" s="4">
        <v>45364</v>
      </c>
      <c r="C52" s="8">
        <v>9.77</v>
      </c>
      <c r="D52" s="8">
        <v>9.9700000000000006</v>
      </c>
      <c r="E52" s="8">
        <v>9.77</v>
      </c>
      <c r="F52" s="8">
        <v>9.9700000000000006</v>
      </c>
      <c r="G52" s="3">
        <v>42911</v>
      </c>
      <c r="H52" s="8">
        <v>8300.7000000000007</v>
      </c>
      <c r="I52" s="3">
        <v>832567631</v>
      </c>
      <c r="J52" s="3"/>
    </row>
    <row r="53" spans="1:10" ht="15" customHeight="1" x14ac:dyDescent="0.2">
      <c r="A53" t="s">
        <v>9</v>
      </c>
      <c r="B53" s="4">
        <v>45365</v>
      </c>
      <c r="C53" s="8">
        <v>9.98</v>
      </c>
      <c r="D53" s="8">
        <v>10</v>
      </c>
      <c r="E53" s="8">
        <v>9.73</v>
      </c>
      <c r="F53" s="8">
        <v>9.9600000000000009</v>
      </c>
      <c r="G53" s="3">
        <v>58536</v>
      </c>
      <c r="H53" s="8">
        <v>8292.3700000000008</v>
      </c>
      <c r="I53" s="3">
        <v>832567631</v>
      </c>
      <c r="J53" s="3"/>
    </row>
    <row r="54" spans="1:10" ht="15" customHeight="1" x14ac:dyDescent="0.2">
      <c r="A54" t="s">
        <v>9</v>
      </c>
      <c r="B54" s="4">
        <v>45366</v>
      </c>
      <c r="C54" s="8">
        <v>9.9600000000000009</v>
      </c>
      <c r="D54" s="8">
        <v>9.9600000000000009</v>
      </c>
      <c r="E54" s="8">
        <v>9.69</v>
      </c>
      <c r="F54" s="8">
        <v>9.7100000000000009</v>
      </c>
      <c r="G54" s="3">
        <v>31890</v>
      </c>
      <c r="H54" s="8">
        <v>8084.23</v>
      </c>
      <c r="I54" s="3">
        <v>832567631</v>
      </c>
      <c r="J54" s="3"/>
    </row>
    <row r="55" spans="1:10" ht="15" customHeight="1" x14ac:dyDescent="0.2">
      <c r="A55" t="s">
        <v>9</v>
      </c>
      <c r="B55" s="4">
        <v>45369</v>
      </c>
      <c r="C55" s="8">
        <v>9.76</v>
      </c>
      <c r="D55" s="8">
        <v>9.84</v>
      </c>
      <c r="E55" s="8">
        <v>9.73</v>
      </c>
      <c r="F55" s="8">
        <v>9.81</v>
      </c>
      <c r="G55" s="3">
        <v>41038</v>
      </c>
      <c r="H55" s="8">
        <v>8167.49</v>
      </c>
      <c r="I55" s="3">
        <v>832567631</v>
      </c>
      <c r="J55" s="3"/>
    </row>
    <row r="56" spans="1:10" ht="15" customHeight="1" x14ac:dyDescent="0.2">
      <c r="A56" t="s">
        <v>9</v>
      </c>
      <c r="B56" s="4">
        <v>45370</v>
      </c>
      <c r="C56" s="8">
        <v>9.83</v>
      </c>
      <c r="D56" s="8">
        <v>9.83</v>
      </c>
      <c r="E56" s="8">
        <v>9.73</v>
      </c>
      <c r="F56" s="8">
        <v>9.75</v>
      </c>
      <c r="G56" s="3">
        <v>36966</v>
      </c>
      <c r="H56" s="8">
        <v>8117.53</v>
      </c>
      <c r="I56" s="3">
        <v>832567631</v>
      </c>
      <c r="J56" s="3"/>
    </row>
    <row r="57" spans="1:10" ht="15" customHeight="1" x14ac:dyDescent="0.2">
      <c r="A57" t="s">
        <v>9</v>
      </c>
      <c r="B57" s="4">
        <v>45371</v>
      </c>
      <c r="C57" s="8">
        <v>9.8000000000000007</v>
      </c>
      <c r="D57" s="8">
        <v>9.9350000000000005</v>
      </c>
      <c r="E57" s="8">
        <v>9.8000000000000007</v>
      </c>
      <c r="F57" s="8">
        <v>9.8800000000000008</v>
      </c>
      <c r="G57" s="3">
        <v>101025</v>
      </c>
      <c r="H57" s="8">
        <v>8225.77</v>
      </c>
      <c r="I57" s="3">
        <v>832567631</v>
      </c>
      <c r="J57" s="3"/>
    </row>
    <row r="58" spans="1:10" ht="15" customHeight="1" x14ac:dyDescent="0.2">
      <c r="A58" t="s">
        <v>9</v>
      </c>
      <c r="B58" s="4">
        <v>45372</v>
      </c>
      <c r="C58" s="8">
        <v>9.8000000000000007</v>
      </c>
      <c r="D58" s="8">
        <v>9.86</v>
      </c>
      <c r="E58" s="8">
        <v>9.76</v>
      </c>
      <c r="F58" s="8">
        <v>9.77</v>
      </c>
      <c r="G58" s="3">
        <v>35082</v>
      </c>
      <c r="H58" s="8">
        <v>8134.19</v>
      </c>
      <c r="I58" s="3">
        <v>832567631</v>
      </c>
      <c r="J58" s="3"/>
    </row>
    <row r="59" spans="1:10" ht="15" customHeight="1" x14ac:dyDescent="0.2">
      <c r="A59" t="s">
        <v>9</v>
      </c>
      <c r="B59" s="4">
        <v>45373</v>
      </c>
      <c r="C59" s="8">
        <v>9.77</v>
      </c>
      <c r="D59" s="8">
        <v>9.85</v>
      </c>
      <c r="E59" s="8">
        <v>9.76</v>
      </c>
      <c r="F59" s="8">
        <v>9.84</v>
      </c>
      <c r="G59" s="3">
        <v>9873</v>
      </c>
      <c r="H59" s="8">
        <v>8192.4699999999993</v>
      </c>
      <c r="I59" s="3">
        <v>832567631</v>
      </c>
      <c r="J59" s="3"/>
    </row>
    <row r="60" spans="1:10" ht="15" customHeight="1" x14ac:dyDescent="0.2">
      <c r="A60" t="s">
        <v>9</v>
      </c>
      <c r="B60" s="4">
        <v>45376</v>
      </c>
      <c r="C60" s="8">
        <v>9.8800000000000008</v>
      </c>
      <c r="D60" s="8">
        <v>9.9700000000000006</v>
      </c>
      <c r="E60" s="8">
        <v>9.74</v>
      </c>
      <c r="F60" s="8">
        <v>9.85</v>
      </c>
      <c r="G60" s="3">
        <v>64076</v>
      </c>
      <c r="H60" s="8">
        <v>8200.7900000000009</v>
      </c>
      <c r="I60" s="3">
        <v>832567631</v>
      </c>
      <c r="J60" s="3"/>
    </row>
    <row r="61" spans="1:10" ht="15" customHeight="1" x14ac:dyDescent="0.2">
      <c r="A61" t="s">
        <v>9</v>
      </c>
      <c r="B61" s="4">
        <v>45377</v>
      </c>
      <c r="C61" s="8">
        <v>9.8699999999999992</v>
      </c>
      <c r="D61" s="8">
        <v>10.050000000000001</v>
      </c>
      <c r="E61" s="8">
        <v>9.83</v>
      </c>
      <c r="F61" s="8">
        <v>10.01</v>
      </c>
      <c r="G61" s="3">
        <v>57110</v>
      </c>
      <c r="H61" s="8">
        <v>8334</v>
      </c>
      <c r="I61" s="3">
        <v>832567631</v>
      </c>
      <c r="J61" s="3"/>
    </row>
    <row r="62" spans="1:10" ht="15" customHeight="1" x14ac:dyDescent="0.2">
      <c r="A62" t="s">
        <v>9</v>
      </c>
      <c r="B62" s="4">
        <v>45378</v>
      </c>
      <c r="C62" s="8">
        <v>9.9600000000000009</v>
      </c>
      <c r="D62" s="8">
        <v>10.07</v>
      </c>
      <c r="E62" s="8">
        <v>9.8699999999999992</v>
      </c>
      <c r="F62" s="8">
        <v>9.8699999999999992</v>
      </c>
      <c r="G62" s="3">
        <v>48362</v>
      </c>
      <c r="H62" s="8">
        <v>8217.44</v>
      </c>
      <c r="I62" s="3">
        <v>832567631</v>
      </c>
      <c r="J62" s="3"/>
    </row>
    <row r="63" spans="1:10" ht="15" customHeight="1" x14ac:dyDescent="0.2">
      <c r="A63" t="s">
        <v>9</v>
      </c>
      <c r="B63" s="4">
        <v>45379</v>
      </c>
      <c r="C63" s="8">
        <v>9.91</v>
      </c>
      <c r="D63" s="8">
        <v>10.07</v>
      </c>
      <c r="E63" s="8">
        <v>9.8000000000000007</v>
      </c>
      <c r="F63" s="8">
        <v>9.92</v>
      </c>
      <c r="G63" s="3">
        <v>66872</v>
      </c>
      <c r="H63" s="8">
        <v>8259.07</v>
      </c>
      <c r="I63" s="3">
        <v>832567631</v>
      </c>
      <c r="J63" s="3"/>
    </row>
    <row r="64" spans="1:10" ht="15" customHeight="1" x14ac:dyDescent="0.2">
      <c r="A64" t="s">
        <v>9</v>
      </c>
      <c r="B64" s="4">
        <v>45384</v>
      </c>
      <c r="C64" s="8">
        <v>9.9499999999999993</v>
      </c>
      <c r="D64" s="8">
        <v>10.08</v>
      </c>
      <c r="E64" s="8">
        <v>9.92</v>
      </c>
      <c r="F64" s="8">
        <v>9.9700000000000006</v>
      </c>
      <c r="G64" s="3">
        <v>38022</v>
      </c>
      <c r="H64" s="8">
        <v>8300.7000000000007</v>
      </c>
      <c r="I64" s="3">
        <v>832567631</v>
      </c>
      <c r="J64" s="3"/>
    </row>
    <row r="65" spans="1:10" ht="15" customHeight="1" x14ac:dyDescent="0.2">
      <c r="A65" t="s">
        <v>9</v>
      </c>
      <c r="B65" s="4">
        <v>45385</v>
      </c>
      <c r="C65" s="8">
        <v>9.9700000000000006</v>
      </c>
      <c r="D65" s="8">
        <v>10.050000000000001</v>
      </c>
      <c r="E65" s="8">
        <v>9.93</v>
      </c>
      <c r="F65" s="8">
        <v>9.9700000000000006</v>
      </c>
      <c r="G65" s="3">
        <v>29984</v>
      </c>
      <c r="H65" s="8">
        <v>8300.7000000000007</v>
      </c>
      <c r="I65" s="3">
        <v>832567631</v>
      </c>
      <c r="J65" s="3"/>
    </row>
    <row r="66" spans="1:10" ht="15" customHeight="1" x14ac:dyDescent="0.2">
      <c r="A66" t="s">
        <v>9</v>
      </c>
      <c r="B66" s="4">
        <v>45386</v>
      </c>
      <c r="C66" s="8">
        <v>10.039999999999999</v>
      </c>
      <c r="D66" s="8">
        <v>10.07</v>
      </c>
      <c r="E66" s="8">
        <v>9.98</v>
      </c>
      <c r="F66" s="8">
        <v>10.039999999999999</v>
      </c>
      <c r="G66" s="3">
        <v>17132</v>
      </c>
      <c r="H66" s="8">
        <v>8358.98</v>
      </c>
      <c r="I66" s="3">
        <v>832567631</v>
      </c>
      <c r="J66" s="3"/>
    </row>
    <row r="67" spans="1:10" ht="15" customHeight="1" x14ac:dyDescent="0.2">
      <c r="A67" t="s">
        <v>9</v>
      </c>
      <c r="B67" s="4">
        <v>45387</v>
      </c>
      <c r="C67" s="8">
        <v>10</v>
      </c>
      <c r="D67" s="8">
        <v>10</v>
      </c>
      <c r="E67" s="8">
        <v>9.8800000000000008</v>
      </c>
      <c r="F67" s="8">
        <v>9.98</v>
      </c>
      <c r="G67" s="3">
        <v>43617</v>
      </c>
      <c r="H67" s="8">
        <v>8309.02</v>
      </c>
      <c r="I67" s="3">
        <v>832567631</v>
      </c>
      <c r="J67" s="3"/>
    </row>
    <row r="68" spans="1:10" ht="15" customHeight="1" x14ac:dyDescent="0.2">
      <c r="A68" t="s">
        <v>9</v>
      </c>
      <c r="B68" s="4">
        <v>45390</v>
      </c>
      <c r="C68" s="8">
        <v>10.08</v>
      </c>
      <c r="D68" s="8">
        <v>10.08</v>
      </c>
      <c r="E68" s="8">
        <v>9.89</v>
      </c>
      <c r="F68" s="8">
        <v>10.050000000000001</v>
      </c>
      <c r="G68" s="3">
        <v>31869</v>
      </c>
      <c r="H68" s="8">
        <v>8367.2999999999993</v>
      </c>
      <c r="I68" s="3">
        <v>832567631</v>
      </c>
      <c r="J68" s="3"/>
    </row>
    <row r="69" spans="1:10" ht="15" customHeight="1" x14ac:dyDescent="0.2">
      <c r="A69" t="s">
        <v>9</v>
      </c>
      <c r="B69" s="4">
        <v>45391</v>
      </c>
      <c r="C69" s="8">
        <v>10.039999999999999</v>
      </c>
      <c r="D69" s="8">
        <v>10.039999999999999</v>
      </c>
      <c r="E69" s="8">
        <v>9.9600000000000009</v>
      </c>
      <c r="F69" s="8">
        <v>9.9700000000000006</v>
      </c>
      <c r="G69" s="3">
        <v>18913</v>
      </c>
      <c r="H69" s="8">
        <v>8300.7000000000007</v>
      </c>
      <c r="I69" s="3">
        <v>832567631</v>
      </c>
      <c r="J69" s="3"/>
    </row>
    <row r="70" spans="1:10" ht="15" customHeight="1" x14ac:dyDescent="0.2">
      <c r="A70" t="s">
        <v>9</v>
      </c>
      <c r="B70" s="4">
        <v>45392</v>
      </c>
      <c r="C70" s="8">
        <v>9.9700000000000006</v>
      </c>
      <c r="D70" s="8">
        <v>10.050000000000001</v>
      </c>
      <c r="E70" s="8">
        <v>9.92</v>
      </c>
      <c r="F70" s="8">
        <v>10.050000000000001</v>
      </c>
      <c r="G70" s="3">
        <v>21246</v>
      </c>
      <c r="H70" s="8">
        <v>8367.2999999999993</v>
      </c>
      <c r="I70" s="3">
        <v>832567631</v>
      </c>
      <c r="J70" s="3"/>
    </row>
    <row r="71" spans="1:10" ht="15" customHeight="1" x14ac:dyDescent="0.2">
      <c r="A71" t="s">
        <v>9</v>
      </c>
      <c r="B71" s="4">
        <v>45393</v>
      </c>
      <c r="C71" s="8">
        <v>10.01</v>
      </c>
      <c r="D71" s="8">
        <v>10.199999999999999</v>
      </c>
      <c r="E71" s="8">
        <v>9.9499999999999993</v>
      </c>
      <c r="F71" s="8">
        <v>10.199999999999999</v>
      </c>
      <c r="G71" s="3">
        <v>29439</v>
      </c>
      <c r="H71" s="8">
        <v>8492.19</v>
      </c>
      <c r="I71" s="3">
        <v>832567631</v>
      </c>
      <c r="J71" s="3"/>
    </row>
    <row r="72" spans="1:10" ht="15" customHeight="1" x14ac:dyDescent="0.2">
      <c r="A72" t="s">
        <v>9</v>
      </c>
      <c r="B72" s="4">
        <v>45394</v>
      </c>
      <c r="C72" s="8">
        <v>10.17</v>
      </c>
      <c r="D72" s="8">
        <v>10.17</v>
      </c>
      <c r="E72" s="8">
        <v>9.98</v>
      </c>
      <c r="F72" s="8">
        <v>10.130000000000001</v>
      </c>
      <c r="G72" s="3">
        <v>13839</v>
      </c>
      <c r="H72" s="8">
        <v>8433.91</v>
      </c>
      <c r="I72" s="3">
        <v>832567631</v>
      </c>
      <c r="J72" s="3"/>
    </row>
    <row r="73" spans="1:10" ht="15" customHeight="1" x14ac:dyDescent="0.2">
      <c r="A73" t="s">
        <v>9</v>
      </c>
      <c r="B73" s="4">
        <v>45397</v>
      </c>
      <c r="C73" s="8">
        <v>10.01</v>
      </c>
      <c r="D73" s="8">
        <v>10.01</v>
      </c>
      <c r="E73" s="8">
        <v>9.93</v>
      </c>
      <c r="F73" s="8">
        <v>9.98</v>
      </c>
      <c r="G73" s="3">
        <v>20340</v>
      </c>
      <c r="H73" s="8">
        <v>8309.02</v>
      </c>
      <c r="I73" s="3">
        <v>832567631</v>
      </c>
      <c r="J73" s="3"/>
    </row>
    <row r="74" spans="1:10" ht="15" customHeight="1" x14ac:dyDescent="0.2">
      <c r="A74" t="s">
        <v>9</v>
      </c>
      <c r="B74" s="4">
        <v>45398</v>
      </c>
      <c r="C74" s="8">
        <v>10</v>
      </c>
      <c r="D74" s="8">
        <v>10</v>
      </c>
      <c r="E74" s="8">
        <v>9.8800000000000008</v>
      </c>
      <c r="F74" s="8">
        <v>10</v>
      </c>
      <c r="G74" s="3">
        <v>9558</v>
      </c>
      <c r="H74" s="8">
        <v>8325.68</v>
      </c>
      <c r="I74" s="3">
        <v>832567631</v>
      </c>
      <c r="J74" s="3"/>
    </row>
    <row r="75" spans="1:10" ht="15" customHeight="1" x14ac:dyDescent="0.2">
      <c r="A75" t="s">
        <v>9</v>
      </c>
      <c r="B75" s="4">
        <v>45399</v>
      </c>
      <c r="C75" s="8">
        <v>10</v>
      </c>
      <c r="D75" s="8">
        <v>10.17</v>
      </c>
      <c r="E75" s="8">
        <v>9.9700000000000006</v>
      </c>
      <c r="F75" s="8">
        <v>10.16</v>
      </c>
      <c r="G75" s="3">
        <v>56277</v>
      </c>
      <c r="H75" s="8">
        <v>8458.89</v>
      </c>
      <c r="I75" s="3">
        <v>832567631</v>
      </c>
      <c r="J75" s="3"/>
    </row>
    <row r="76" spans="1:10" ht="15" customHeight="1" x14ac:dyDescent="0.2">
      <c r="A76" t="s">
        <v>9</v>
      </c>
      <c r="B76" s="4">
        <v>45400</v>
      </c>
      <c r="C76" s="8">
        <v>10.16</v>
      </c>
      <c r="D76" s="8">
        <v>10.16</v>
      </c>
      <c r="E76" s="8">
        <v>9.91</v>
      </c>
      <c r="F76" s="8">
        <v>9.92</v>
      </c>
      <c r="G76" s="3">
        <v>78266</v>
      </c>
      <c r="H76" s="8">
        <v>8259.07</v>
      </c>
      <c r="I76" s="3">
        <v>832567631</v>
      </c>
      <c r="J76" s="3"/>
    </row>
    <row r="77" spans="1:10" ht="15" customHeight="1" x14ac:dyDescent="0.2">
      <c r="A77" t="s">
        <v>9</v>
      </c>
      <c r="B77" s="4">
        <v>45401</v>
      </c>
      <c r="C77" s="8">
        <v>9.9499999999999993</v>
      </c>
      <c r="D77" s="8">
        <v>10.039999999999999</v>
      </c>
      <c r="E77" s="8">
        <v>9.9499999999999993</v>
      </c>
      <c r="F77" s="8">
        <v>9.99</v>
      </c>
      <c r="G77" s="3">
        <v>19678</v>
      </c>
      <c r="H77" s="8">
        <v>8317.35</v>
      </c>
      <c r="I77" s="3">
        <v>832567631</v>
      </c>
      <c r="J77" s="3"/>
    </row>
    <row r="78" spans="1:10" ht="15" customHeight="1" x14ac:dyDescent="0.2">
      <c r="A78" t="s">
        <v>9</v>
      </c>
      <c r="B78" s="4">
        <v>45404</v>
      </c>
      <c r="C78" s="8">
        <v>10.09</v>
      </c>
      <c r="D78" s="8">
        <v>10.09</v>
      </c>
      <c r="E78" s="8">
        <v>9.91</v>
      </c>
      <c r="F78" s="8">
        <v>9.9499999999999993</v>
      </c>
      <c r="G78" s="3">
        <v>24350</v>
      </c>
      <c r="H78" s="8">
        <v>8284.0499999999993</v>
      </c>
      <c r="I78" s="3">
        <v>832567631</v>
      </c>
      <c r="J78" s="3"/>
    </row>
    <row r="79" spans="1:10" ht="15" customHeight="1" x14ac:dyDescent="0.2">
      <c r="A79" t="s">
        <v>9</v>
      </c>
      <c r="B79" s="4">
        <v>45405</v>
      </c>
      <c r="C79" s="8">
        <v>10.01</v>
      </c>
      <c r="D79" s="8">
        <v>10.02</v>
      </c>
      <c r="E79" s="8">
        <v>9.89</v>
      </c>
      <c r="F79" s="8">
        <v>9.93</v>
      </c>
      <c r="G79" s="3">
        <v>17604</v>
      </c>
      <c r="H79" s="8">
        <v>8267.4</v>
      </c>
      <c r="I79" s="3">
        <v>832567631</v>
      </c>
      <c r="J79" s="3"/>
    </row>
    <row r="80" spans="1:10" ht="15" customHeight="1" x14ac:dyDescent="0.2">
      <c r="A80" t="s">
        <v>9</v>
      </c>
      <c r="B80" s="4">
        <v>45406</v>
      </c>
      <c r="C80" s="8">
        <v>10.050000000000001</v>
      </c>
      <c r="D80" s="8">
        <v>10.050000000000001</v>
      </c>
      <c r="E80" s="8">
        <v>9.89</v>
      </c>
      <c r="F80" s="8">
        <v>10.029999999999999</v>
      </c>
      <c r="G80" s="3">
        <v>30023</v>
      </c>
      <c r="H80" s="8">
        <v>8350.65</v>
      </c>
      <c r="I80" s="3">
        <v>832567631</v>
      </c>
      <c r="J80" s="3"/>
    </row>
    <row r="81" spans="1:10" ht="15" customHeight="1" x14ac:dyDescent="0.2">
      <c r="A81" t="s">
        <v>9</v>
      </c>
      <c r="B81" s="4">
        <v>45408</v>
      </c>
      <c r="C81" s="8">
        <v>10.050000000000001</v>
      </c>
      <c r="D81" s="8">
        <v>10.050000000000001</v>
      </c>
      <c r="E81" s="8">
        <v>9.82</v>
      </c>
      <c r="F81" s="8">
        <v>9.92</v>
      </c>
      <c r="G81" s="3">
        <v>66225</v>
      </c>
      <c r="H81" s="8">
        <v>8259.07</v>
      </c>
      <c r="I81" s="3">
        <v>832567631</v>
      </c>
      <c r="J81" s="3"/>
    </row>
    <row r="82" spans="1:10" ht="15" customHeight="1" x14ac:dyDescent="0.2">
      <c r="A82" t="s">
        <v>9</v>
      </c>
      <c r="B82" s="4">
        <v>45411</v>
      </c>
      <c r="C82" s="8">
        <v>10.039999999999999</v>
      </c>
      <c r="D82" s="8">
        <v>10.19</v>
      </c>
      <c r="E82" s="8">
        <v>9.93</v>
      </c>
      <c r="F82" s="8">
        <v>9.9499999999999993</v>
      </c>
      <c r="G82" s="3">
        <v>44893</v>
      </c>
      <c r="H82" s="8">
        <v>8284.0499999999993</v>
      </c>
      <c r="I82" s="3">
        <v>832567631</v>
      </c>
      <c r="J82" s="3"/>
    </row>
    <row r="83" spans="1:10" ht="15" customHeight="1" x14ac:dyDescent="0.2">
      <c r="A83" t="s">
        <v>9</v>
      </c>
      <c r="B83" s="4">
        <v>45412</v>
      </c>
      <c r="C83" s="8">
        <v>10.02</v>
      </c>
      <c r="D83" s="8">
        <v>10.09</v>
      </c>
      <c r="E83" s="8">
        <v>9.9600000000000009</v>
      </c>
      <c r="F83" s="8">
        <v>10</v>
      </c>
      <c r="G83" s="3">
        <v>97344</v>
      </c>
      <c r="H83" s="8">
        <v>8325.68</v>
      </c>
      <c r="I83" s="3">
        <v>832567631</v>
      </c>
      <c r="J83" s="3"/>
    </row>
    <row r="84" spans="1:10" ht="15" customHeight="1" x14ac:dyDescent="0.2">
      <c r="A84" t="s">
        <v>9</v>
      </c>
      <c r="B84" s="4">
        <v>45413</v>
      </c>
      <c r="C84" s="8">
        <v>10</v>
      </c>
      <c r="D84" s="8">
        <v>10.039999999999999</v>
      </c>
      <c r="E84" s="8">
        <v>9.9700000000000006</v>
      </c>
      <c r="F84" s="8">
        <v>9.9700000000000006</v>
      </c>
      <c r="G84" s="3">
        <v>31794</v>
      </c>
      <c r="H84" s="8">
        <v>8300.7000000000007</v>
      </c>
      <c r="I84" s="3">
        <v>832567631</v>
      </c>
      <c r="J84" s="3"/>
    </row>
    <row r="85" spans="1:10" ht="15" customHeight="1" x14ac:dyDescent="0.2">
      <c r="A85" t="s">
        <v>9</v>
      </c>
      <c r="B85" s="4">
        <v>45414</v>
      </c>
      <c r="C85" s="8">
        <v>10</v>
      </c>
      <c r="D85" s="8">
        <v>10.029999999999999</v>
      </c>
      <c r="E85" s="8">
        <v>9.92</v>
      </c>
      <c r="F85" s="8">
        <v>10.02</v>
      </c>
      <c r="G85" s="3">
        <v>61380</v>
      </c>
      <c r="H85" s="8">
        <v>8342.33</v>
      </c>
      <c r="I85" s="3">
        <v>832567631</v>
      </c>
      <c r="J85" s="3"/>
    </row>
    <row r="86" spans="1:10" ht="15" customHeight="1" x14ac:dyDescent="0.2">
      <c r="A86" t="s">
        <v>9</v>
      </c>
      <c r="B86" s="4">
        <v>45415</v>
      </c>
      <c r="C86" s="8">
        <v>10.02</v>
      </c>
      <c r="D86" s="8">
        <v>10.02</v>
      </c>
      <c r="E86" s="8">
        <v>9.86</v>
      </c>
      <c r="F86" s="8">
        <v>9.9499999999999993</v>
      </c>
      <c r="G86" s="3">
        <v>26668</v>
      </c>
      <c r="H86" s="8">
        <v>8284.0499999999993</v>
      </c>
      <c r="I86" s="3">
        <v>832567631</v>
      </c>
      <c r="J86" s="3"/>
    </row>
    <row r="87" spans="1:10" ht="15" customHeight="1" x14ac:dyDescent="0.2">
      <c r="A87" t="s">
        <v>9</v>
      </c>
      <c r="B87" s="4">
        <v>45418</v>
      </c>
      <c r="C87" s="8">
        <v>9.9600000000000009</v>
      </c>
      <c r="D87" s="8">
        <v>9.98</v>
      </c>
      <c r="E87" s="8">
        <v>9.67</v>
      </c>
      <c r="F87" s="8">
        <v>9.68</v>
      </c>
      <c r="G87" s="3">
        <v>66155</v>
      </c>
      <c r="H87" s="8">
        <v>8059.25</v>
      </c>
      <c r="I87" s="3">
        <v>832567631</v>
      </c>
      <c r="J87" s="3"/>
    </row>
    <row r="88" spans="1:10" ht="15" customHeight="1" x14ac:dyDescent="0.2">
      <c r="A88" t="s">
        <v>9</v>
      </c>
      <c r="B88" s="4">
        <v>45419</v>
      </c>
      <c r="C88" s="8">
        <v>9.7200000000000006</v>
      </c>
      <c r="D88" s="8">
        <v>9.8000000000000007</v>
      </c>
      <c r="E88" s="8">
        <v>9.65</v>
      </c>
      <c r="F88" s="8">
        <v>9.73</v>
      </c>
      <c r="G88" s="3">
        <v>62353</v>
      </c>
      <c r="H88" s="8">
        <v>8100.88</v>
      </c>
      <c r="I88" s="3">
        <v>832567631</v>
      </c>
      <c r="J88" s="3"/>
    </row>
    <row r="89" spans="1:10" ht="15" customHeight="1" x14ac:dyDescent="0.2">
      <c r="A89" t="s">
        <v>9</v>
      </c>
      <c r="B89" s="4">
        <v>45420</v>
      </c>
      <c r="C89" s="8">
        <v>9.75</v>
      </c>
      <c r="D89" s="8">
        <v>9.89</v>
      </c>
      <c r="E89" s="8">
        <v>9.75</v>
      </c>
      <c r="F89" s="8">
        <v>9.89</v>
      </c>
      <c r="G89" s="3">
        <v>48677</v>
      </c>
      <c r="H89" s="8">
        <v>8234.09</v>
      </c>
      <c r="I89" s="3">
        <v>832567631</v>
      </c>
      <c r="J89" s="3"/>
    </row>
    <row r="90" spans="1:10" ht="15" customHeight="1" x14ac:dyDescent="0.2">
      <c r="A90" t="s">
        <v>9</v>
      </c>
      <c r="B90" s="4">
        <v>45421</v>
      </c>
      <c r="C90" s="8">
        <v>9.89</v>
      </c>
      <c r="D90" s="8">
        <v>9.89</v>
      </c>
      <c r="E90" s="8">
        <v>9.7100000000000009</v>
      </c>
      <c r="F90" s="8">
        <v>9.7799999999999994</v>
      </c>
      <c r="G90" s="3">
        <v>48095</v>
      </c>
      <c r="H90" s="8">
        <v>8142.51</v>
      </c>
      <c r="I90" s="3">
        <v>832567631</v>
      </c>
      <c r="J90" s="3"/>
    </row>
    <row r="91" spans="1:10" ht="15" customHeight="1" x14ac:dyDescent="0.2">
      <c r="A91" t="s">
        <v>9</v>
      </c>
      <c r="B91" s="4">
        <v>45422</v>
      </c>
      <c r="C91" s="8">
        <v>9.8800000000000008</v>
      </c>
      <c r="D91" s="8">
        <v>9.8800000000000008</v>
      </c>
      <c r="E91" s="8">
        <v>9.7100000000000009</v>
      </c>
      <c r="F91" s="8">
        <v>9.7100000000000009</v>
      </c>
      <c r="G91" s="3">
        <v>31781</v>
      </c>
      <c r="H91" s="8">
        <v>8084.23</v>
      </c>
      <c r="I91" s="3">
        <v>832567631</v>
      </c>
      <c r="J91" s="3"/>
    </row>
    <row r="92" spans="1:10" ht="15" customHeight="1" x14ac:dyDescent="0.2">
      <c r="A92" t="s">
        <v>9</v>
      </c>
      <c r="B92" s="4">
        <v>45425</v>
      </c>
      <c r="C92" s="8">
        <v>9.75</v>
      </c>
      <c r="D92" s="8">
        <v>9.75</v>
      </c>
      <c r="E92" s="8">
        <v>9.58</v>
      </c>
      <c r="F92" s="8">
        <v>9.6300000000000008</v>
      </c>
      <c r="G92" s="3">
        <v>62401</v>
      </c>
      <c r="H92" s="8">
        <v>8017.63</v>
      </c>
      <c r="I92" s="3">
        <v>832567631</v>
      </c>
      <c r="J92" s="3"/>
    </row>
    <row r="93" spans="1:10" ht="15" customHeight="1" x14ac:dyDescent="0.2">
      <c r="A93" t="s">
        <v>9</v>
      </c>
      <c r="B93" s="4">
        <v>45426</v>
      </c>
      <c r="C93" s="8">
        <v>9.6</v>
      </c>
      <c r="D93" s="8">
        <v>9.61</v>
      </c>
      <c r="E93" s="8">
        <v>9.4</v>
      </c>
      <c r="F93" s="8">
        <v>9.48</v>
      </c>
      <c r="G93" s="3">
        <v>81189</v>
      </c>
      <c r="H93" s="8">
        <v>7892.74</v>
      </c>
      <c r="I93" s="3">
        <v>832567631</v>
      </c>
      <c r="J93" s="3"/>
    </row>
    <row r="94" spans="1:10" ht="15" customHeight="1" x14ac:dyDescent="0.2">
      <c r="A94" t="s">
        <v>9</v>
      </c>
      <c r="B94" s="4">
        <v>45427</v>
      </c>
      <c r="C94" s="8">
        <v>9.4499999999999993</v>
      </c>
      <c r="D94" s="8">
        <v>9.6</v>
      </c>
      <c r="E94" s="8">
        <v>9.43</v>
      </c>
      <c r="F94" s="8">
        <v>9.5500000000000007</v>
      </c>
      <c r="G94" s="3">
        <v>62479</v>
      </c>
      <c r="H94" s="8">
        <v>7951.02</v>
      </c>
      <c r="I94" s="3">
        <v>832567631</v>
      </c>
      <c r="J94" s="3"/>
    </row>
    <row r="95" spans="1:10" ht="15" customHeight="1" x14ac:dyDescent="0.2">
      <c r="A95" t="s">
        <v>9</v>
      </c>
      <c r="B95" s="4">
        <v>45428</v>
      </c>
      <c r="C95" s="8">
        <v>9.65</v>
      </c>
      <c r="D95" s="8">
        <v>9.9</v>
      </c>
      <c r="E95" s="8">
        <v>9.65</v>
      </c>
      <c r="F95" s="8">
        <v>9.84</v>
      </c>
      <c r="G95" s="3">
        <v>85278</v>
      </c>
      <c r="H95" s="8">
        <v>8192.4699999999993</v>
      </c>
      <c r="I95" s="3">
        <v>832567631</v>
      </c>
      <c r="J95" s="3"/>
    </row>
    <row r="96" spans="1:10" ht="15" customHeight="1" x14ac:dyDescent="0.2">
      <c r="A96" t="s">
        <v>9</v>
      </c>
      <c r="B96" s="4">
        <v>45429</v>
      </c>
      <c r="C96" s="8">
        <v>9.86</v>
      </c>
      <c r="D96" s="8">
        <v>9.98</v>
      </c>
      <c r="E96" s="8">
        <v>9.86</v>
      </c>
      <c r="F96" s="8">
        <v>9.94</v>
      </c>
      <c r="G96" s="3">
        <v>43407</v>
      </c>
      <c r="H96" s="8">
        <v>8275.7199999999993</v>
      </c>
      <c r="I96" s="3">
        <v>832567631</v>
      </c>
      <c r="J96" s="3"/>
    </row>
    <row r="97" spans="1:10" ht="15" customHeight="1" x14ac:dyDescent="0.2">
      <c r="A97" t="s">
        <v>9</v>
      </c>
      <c r="B97" s="4">
        <v>45432</v>
      </c>
      <c r="C97" s="8">
        <v>9.9499999999999993</v>
      </c>
      <c r="D97" s="8">
        <v>10.42</v>
      </c>
      <c r="E97" s="8">
        <v>9.9499999999999993</v>
      </c>
      <c r="F97" s="8">
        <v>10.35</v>
      </c>
      <c r="G97" s="3">
        <v>85317</v>
      </c>
      <c r="H97" s="8">
        <v>8617.07</v>
      </c>
      <c r="I97" s="3">
        <v>832567631</v>
      </c>
      <c r="J97" s="3"/>
    </row>
    <row r="98" spans="1:10" ht="15" customHeight="1" x14ac:dyDescent="0.2">
      <c r="A98" t="s">
        <v>9</v>
      </c>
      <c r="B98" s="4">
        <v>45433</v>
      </c>
      <c r="C98" s="8">
        <v>9.9</v>
      </c>
      <c r="D98" s="8">
        <v>9.94</v>
      </c>
      <c r="E98" s="8">
        <v>9.74</v>
      </c>
      <c r="F98" s="8">
        <v>9.75</v>
      </c>
      <c r="G98" s="3">
        <v>150949</v>
      </c>
      <c r="H98" s="8">
        <v>8117.53</v>
      </c>
      <c r="I98" s="3">
        <v>832567631</v>
      </c>
      <c r="J98" s="3"/>
    </row>
    <row r="99" spans="1:10" ht="15" customHeight="1" x14ac:dyDescent="0.2">
      <c r="A99" t="s">
        <v>9</v>
      </c>
      <c r="B99" s="4">
        <v>45434</v>
      </c>
      <c r="C99" s="8">
        <v>9.8800000000000008</v>
      </c>
      <c r="D99" s="8">
        <v>9.98</v>
      </c>
      <c r="E99" s="8">
        <v>9.84</v>
      </c>
      <c r="F99" s="8">
        <v>9.8800000000000008</v>
      </c>
      <c r="G99" s="3">
        <v>74006</v>
      </c>
      <c r="H99" s="8">
        <v>8225.77</v>
      </c>
      <c r="I99" s="3">
        <v>832567631</v>
      </c>
      <c r="J99" s="3"/>
    </row>
    <row r="100" spans="1:10" ht="15" customHeight="1" x14ac:dyDescent="0.2">
      <c r="A100" t="s">
        <v>9</v>
      </c>
      <c r="B100" s="4">
        <v>45435</v>
      </c>
      <c r="C100" s="8">
        <v>10.02</v>
      </c>
      <c r="D100" s="8">
        <v>10.19</v>
      </c>
      <c r="E100" s="8">
        <v>9.9700000000000006</v>
      </c>
      <c r="F100" s="8">
        <v>10.1</v>
      </c>
      <c r="G100" s="3">
        <v>105323</v>
      </c>
      <c r="H100" s="8">
        <v>8408.93</v>
      </c>
      <c r="I100" s="3">
        <v>832567631</v>
      </c>
      <c r="J100" s="3"/>
    </row>
    <row r="101" spans="1:10" ht="15" customHeight="1" x14ac:dyDescent="0.2">
      <c r="A101" t="s">
        <v>9</v>
      </c>
      <c r="B101" s="4">
        <v>45436</v>
      </c>
      <c r="C101" s="8">
        <v>10.06</v>
      </c>
      <c r="D101" s="8">
        <v>10.210000000000001</v>
      </c>
      <c r="E101" s="8">
        <v>10.050000000000001</v>
      </c>
      <c r="F101" s="8">
        <v>10.050000000000001</v>
      </c>
      <c r="G101" s="3">
        <v>64366</v>
      </c>
      <c r="H101" s="8">
        <v>8367.2999999999993</v>
      </c>
      <c r="I101" s="3">
        <v>832567631</v>
      </c>
      <c r="J101" s="3"/>
    </row>
    <row r="102" spans="1:10" ht="15" customHeight="1" x14ac:dyDescent="0.2">
      <c r="A102" t="s">
        <v>9</v>
      </c>
      <c r="B102" s="4">
        <v>45439</v>
      </c>
      <c r="C102" s="8">
        <v>10.119999999999999</v>
      </c>
      <c r="D102" s="8">
        <v>10.130000000000001</v>
      </c>
      <c r="E102" s="8">
        <v>10.02</v>
      </c>
      <c r="F102" s="8">
        <v>10.06</v>
      </c>
      <c r="G102" s="3">
        <v>37431</v>
      </c>
      <c r="H102" s="8">
        <v>8375.6299999999992</v>
      </c>
      <c r="I102" s="3">
        <v>832567631</v>
      </c>
      <c r="J102" s="3"/>
    </row>
    <row r="103" spans="1:10" ht="15" customHeight="1" x14ac:dyDescent="0.2">
      <c r="A103" t="s">
        <v>9</v>
      </c>
      <c r="B103" s="4">
        <v>45440</v>
      </c>
      <c r="C103" s="8">
        <v>10.050000000000001</v>
      </c>
      <c r="D103" s="8">
        <v>10.119999999999999</v>
      </c>
      <c r="E103" s="8">
        <v>10</v>
      </c>
      <c r="F103" s="8">
        <v>10.08</v>
      </c>
      <c r="G103" s="3">
        <v>101426</v>
      </c>
      <c r="H103" s="8">
        <v>8439.7199999999993</v>
      </c>
      <c r="I103" s="3">
        <v>837274099</v>
      </c>
      <c r="J103" s="3"/>
    </row>
    <row r="104" spans="1:10" ht="15" customHeight="1" x14ac:dyDescent="0.2">
      <c r="A104" t="s">
        <v>9</v>
      </c>
      <c r="B104" s="4">
        <v>45441</v>
      </c>
      <c r="C104" s="8">
        <v>10.1</v>
      </c>
      <c r="D104" s="8">
        <v>10.1</v>
      </c>
      <c r="E104" s="8">
        <v>9.85</v>
      </c>
      <c r="F104" s="8">
        <v>9.9499999999999993</v>
      </c>
      <c r="G104" s="3">
        <v>90321</v>
      </c>
      <c r="H104" s="8">
        <v>8330.8799999999992</v>
      </c>
      <c r="I104" s="3">
        <v>837274099</v>
      </c>
      <c r="J104" s="3"/>
    </row>
    <row r="105" spans="1:10" ht="15" customHeight="1" x14ac:dyDescent="0.2">
      <c r="A105" t="s">
        <v>9</v>
      </c>
      <c r="B105" s="4">
        <v>45442</v>
      </c>
      <c r="C105" s="8">
        <v>10</v>
      </c>
      <c r="D105" s="8">
        <v>10</v>
      </c>
      <c r="E105" s="8">
        <v>9.75</v>
      </c>
      <c r="F105" s="8">
        <v>9.7799999999999994</v>
      </c>
      <c r="G105" s="3">
        <v>99305</v>
      </c>
      <c r="H105" s="8">
        <v>8188.54</v>
      </c>
      <c r="I105" s="3">
        <v>837274099</v>
      </c>
      <c r="J105" s="3"/>
    </row>
    <row r="106" spans="1:10" ht="15" customHeight="1" x14ac:dyDescent="0.2">
      <c r="A106" t="s">
        <v>9</v>
      </c>
      <c r="B106" s="4">
        <v>45443</v>
      </c>
      <c r="C106" s="8">
        <v>9.8800000000000008</v>
      </c>
      <c r="D106" s="8">
        <v>9.89</v>
      </c>
      <c r="E106" s="8">
        <v>9.75</v>
      </c>
      <c r="F106" s="8">
        <v>9.85</v>
      </c>
      <c r="G106" s="3">
        <v>136938</v>
      </c>
      <c r="H106" s="8">
        <v>8247.15</v>
      </c>
      <c r="I106" s="3">
        <v>837274099</v>
      </c>
      <c r="J106" s="3"/>
    </row>
    <row r="107" spans="1:10" ht="15" customHeight="1" x14ac:dyDescent="0.2">
      <c r="A107" t="s">
        <v>9</v>
      </c>
      <c r="B107" s="4">
        <v>45446</v>
      </c>
      <c r="C107" s="8">
        <v>9.93</v>
      </c>
      <c r="D107" s="8">
        <v>10</v>
      </c>
      <c r="E107" s="8">
        <v>9.91</v>
      </c>
      <c r="F107" s="8">
        <v>9.9600000000000009</v>
      </c>
      <c r="G107" s="3">
        <v>59800</v>
      </c>
      <c r="H107" s="8">
        <v>8339.25</v>
      </c>
      <c r="I107" s="3">
        <v>837274099</v>
      </c>
      <c r="J107" s="3"/>
    </row>
    <row r="108" spans="1:10" ht="15" customHeight="1" x14ac:dyDescent="0.2">
      <c r="A108" t="s">
        <v>9</v>
      </c>
      <c r="B108" s="4">
        <v>45447</v>
      </c>
      <c r="C108" s="8">
        <v>10.039999999999999</v>
      </c>
      <c r="D108" s="8">
        <v>10.17</v>
      </c>
      <c r="E108" s="8">
        <v>9.9700000000000006</v>
      </c>
      <c r="F108" s="8">
        <v>10.1</v>
      </c>
      <c r="G108" s="3">
        <v>62933</v>
      </c>
      <c r="H108" s="8">
        <v>8456.4699999999993</v>
      </c>
      <c r="I108" s="3">
        <v>837274099</v>
      </c>
      <c r="J108" s="3"/>
    </row>
    <row r="109" spans="1:10" ht="15" customHeight="1" x14ac:dyDescent="0.2">
      <c r="A109" t="s">
        <v>9</v>
      </c>
      <c r="B109" s="4">
        <v>45448</v>
      </c>
      <c r="C109" s="8">
        <v>10.08</v>
      </c>
      <c r="D109" s="8">
        <v>10.4</v>
      </c>
      <c r="E109" s="8">
        <v>10.050000000000001</v>
      </c>
      <c r="F109" s="8">
        <v>10.31</v>
      </c>
      <c r="G109" s="3">
        <v>97965</v>
      </c>
      <c r="H109" s="8">
        <v>8632.2999999999993</v>
      </c>
      <c r="I109" s="3">
        <v>837274099</v>
      </c>
      <c r="J109" s="3"/>
    </row>
    <row r="110" spans="1:10" ht="15" customHeight="1" x14ac:dyDescent="0.2">
      <c r="A110" t="s">
        <v>9</v>
      </c>
      <c r="B110" s="4">
        <v>45449</v>
      </c>
      <c r="C110" s="8">
        <v>10.3</v>
      </c>
      <c r="D110" s="8">
        <v>10.87</v>
      </c>
      <c r="E110" s="8">
        <v>10.3</v>
      </c>
      <c r="F110" s="8">
        <v>10.61</v>
      </c>
      <c r="G110" s="3">
        <v>143479</v>
      </c>
      <c r="H110" s="8">
        <v>8883.48</v>
      </c>
      <c r="I110" s="3">
        <v>837274099</v>
      </c>
      <c r="J110" s="3"/>
    </row>
    <row r="111" spans="1:10" ht="15" customHeight="1" x14ac:dyDescent="0.2">
      <c r="A111" t="s">
        <v>9</v>
      </c>
      <c r="B111" s="4">
        <v>45450</v>
      </c>
      <c r="C111" s="8">
        <v>10.72</v>
      </c>
      <c r="D111" s="8">
        <v>10.72</v>
      </c>
      <c r="E111" s="8">
        <v>10.31</v>
      </c>
      <c r="F111" s="8">
        <v>10.35</v>
      </c>
      <c r="G111" s="3">
        <v>166614</v>
      </c>
      <c r="H111" s="8">
        <v>8665.7900000000009</v>
      </c>
      <c r="I111" s="3">
        <v>837274099</v>
      </c>
      <c r="J111" s="3"/>
    </row>
    <row r="112" spans="1:10" ht="15" customHeight="1" x14ac:dyDescent="0.2">
      <c r="A112" t="s">
        <v>9</v>
      </c>
      <c r="B112" s="4">
        <v>45454</v>
      </c>
      <c r="C112" s="8">
        <v>10.199999999999999</v>
      </c>
      <c r="D112" s="8">
        <v>10.199999999999999</v>
      </c>
      <c r="E112" s="8">
        <v>9.9700000000000006</v>
      </c>
      <c r="F112" s="8">
        <v>10</v>
      </c>
      <c r="G112" s="3">
        <v>116857</v>
      </c>
      <c r="H112" s="8">
        <v>8372.74</v>
      </c>
      <c r="I112" s="3">
        <v>837274099</v>
      </c>
      <c r="J112" s="3"/>
    </row>
    <row r="113" spans="1:10" ht="15" customHeight="1" x14ac:dyDescent="0.2">
      <c r="A113" t="s">
        <v>9</v>
      </c>
      <c r="B113" s="4">
        <v>45455</v>
      </c>
      <c r="C113" s="8">
        <v>10.01</v>
      </c>
      <c r="D113" s="8">
        <v>10.050000000000001</v>
      </c>
      <c r="E113" s="8">
        <v>9.92</v>
      </c>
      <c r="F113" s="8">
        <v>9.92</v>
      </c>
      <c r="G113" s="3">
        <v>132524</v>
      </c>
      <c r="H113" s="8">
        <v>8305.76</v>
      </c>
      <c r="I113" s="3">
        <v>837274099</v>
      </c>
      <c r="J113" s="3"/>
    </row>
    <row r="114" spans="1:10" ht="15" customHeight="1" x14ac:dyDescent="0.2">
      <c r="A114" t="s">
        <v>9</v>
      </c>
      <c r="B114" s="4">
        <v>45456</v>
      </c>
      <c r="C114" s="8">
        <v>9.93</v>
      </c>
      <c r="D114" s="8">
        <v>9.9600000000000009</v>
      </c>
      <c r="E114" s="8">
        <v>9.86</v>
      </c>
      <c r="F114" s="8">
        <v>9.8800000000000008</v>
      </c>
      <c r="G114" s="3">
        <v>120492</v>
      </c>
      <c r="H114" s="8">
        <v>8272.27</v>
      </c>
      <c r="I114" s="3">
        <v>837274099</v>
      </c>
      <c r="J114" s="3"/>
    </row>
    <row r="115" spans="1:10" ht="15" customHeight="1" x14ac:dyDescent="0.2">
      <c r="A115" t="s">
        <v>9</v>
      </c>
      <c r="B115" s="4">
        <v>45457</v>
      </c>
      <c r="C115" s="8">
        <v>9.92</v>
      </c>
      <c r="D115" s="8">
        <v>10.14</v>
      </c>
      <c r="E115" s="8">
        <v>9.9</v>
      </c>
      <c r="F115" s="8">
        <v>10.06</v>
      </c>
      <c r="G115" s="3">
        <v>135398</v>
      </c>
      <c r="H115" s="8">
        <v>8422.98</v>
      </c>
      <c r="I115" s="3">
        <v>837274099</v>
      </c>
      <c r="J115" s="3"/>
    </row>
    <row r="116" spans="1:10" ht="15" customHeight="1" x14ac:dyDescent="0.2">
      <c r="A116" t="s">
        <v>9</v>
      </c>
      <c r="B116" s="4">
        <v>45460</v>
      </c>
      <c r="C116" s="8">
        <v>0</v>
      </c>
      <c r="D116" s="8">
        <v>0</v>
      </c>
      <c r="E116" s="8">
        <v>0</v>
      </c>
      <c r="F116" s="8">
        <v>10.06</v>
      </c>
      <c r="G116" s="3">
        <v>0</v>
      </c>
      <c r="H116" s="8">
        <v>8422.98</v>
      </c>
      <c r="I116" s="3">
        <v>837274099</v>
      </c>
      <c r="J116" s="3"/>
    </row>
    <row r="117" spans="1:10" ht="15" customHeight="1" x14ac:dyDescent="0.2">
      <c r="A117" t="s">
        <v>9</v>
      </c>
      <c r="B117" s="4">
        <v>45461</v>
      </c>
      <c r="C117" s="8">
        <v>9.99</v>
      </c>
      <c r="D117" s="8">
        <v>10.59</v>
      </c>
      <c r="E117" s="8">
        <v>9.98</v>
      </c>
      <c r="F117" s="8">
        <v>10.55</v>
      </c>
      <c r="G117" s="3">
        <v>360473</v>
      </c>
      <c r="H117" s="8">
        <v>8833.24</v>
      </c>
      <c r="I117" s="3">
        <v>837274099</v>
      </c>
      <c r="J117" s="3"/>
    </row>
    <row r="118" spans="1:10" ht="15" customHeight="1" x14ac:dyDescent="0.2">
      <c r="A118" t="s">
        <v>9</v>
      </c>
      <c r="B118" s="4">
        <v>45462</v>
      </c>
      <c r="C118" s="8">
        <v>10.47</v>
      </c>
      <c r="D118" s="8">
        <v>10.47</v>
      </c>
      <c r="E118" s="8">
        <v>10.215</v>
      </c>
      <c r="F118" s="8">
        <v>10.25</v>
      </c>
      <c r="G118" s="3">
        <v>395445</v>
      </c>
      <c r="H118" s="8">
        <v>8582.06</v>
      </c>
      <c r="I118" s="3">
        <v>837274099</v>
      </c>
      <c r="J118" s="3"/>
    </row>
    <row r="119" spans="1:10" ht="15" customHeight="1" x14ac:dyDescent="0.2">
      <c r="A119" t="s">
        <v>9</v>
      </c>
      <c r="B119" s="4">
        <v>45463</v>
      </c>
      <c r="C119" s="8">
        <v>10.199999999999999</v>
      </c>
      <c r="D119" s="8">
        <v>10.33</v>
      </c>
      <c r="E119" s="8">
        <v>10.07</v>
      </c>
      <c r="F119" s="8">
        <v>10.26</v>
      </c>
      <c r="G119" s="3">
        <v>234016</v>
      </c>
      <c r="H119" s="8">
        <v>9601.27</v>
      </c>
      <c r="I119" s="3">
        <v>935796267</v>
      </c>
      <c r="J119" s="3"/>
    </row>
    <row r="120" spans="1:10" ht="15" customHeight="1" x14ac:dyDescent="0.2">
      <c r="A120" t="s">
        <v>9</v>
      </c>
      <c r="B120" s="4">
        <v>45464</v>
      </c>
      <c r="C120" s="8">
        <v>10.26</v>
      </c>
      <c r="D120" s="8">
        <v>10.3</v>
      </c>
      <c r="E120" s="8">
        <v>9.9700000000000006</v>
      </c>
      <c r="F120" s="8">
        <v>10.029999999999999</v>
      </c>
      <c r="G120" s="3">
        <v>337657</v>
      </c>
      <c r="H120" s="8">
        <v>9386.0400000000009</v>
      </c>
      <c r="I120" s="3">
        <v>935796267</v>
      </c>
      <c r="J120" s="3"/>
    </row>
    <row r="121" spans="1:10" ht="15" customHeight="1" x14ac:dyDescent="0.2">
      <c r="A121" t="s">
        <v>9</v>
      </c>
      <c r="B121" s="4">
        <v>45467</v>
      </c>
      <c r="C121" s="8">
        <v>10.1</v>
      </c>
      <c r="D121" s="8">
        <v>10.14</v>
      </c>
      <c r="E121" s="8">
        <v>9.93</v>
      </c>
      <c r="F121" s="8">
        <v>10.07</v>
      </c>
      <c r="G121" s="3">
        <v>632860</v>
      </c>
      <c r="H121" s="8">
        <v>9423.4699999999993</v>
      </c>
      <c r="I121" s="3">
        <v>935796267</v>
      </c>
      <c r="J121" s="3"/>
    </row>
    <row r="122" spans="1:10" ht="15" customHeight="1" x14ac:dyDescent="0.2">
      <c r="A122" t="s">
        <v>9</v>
      </c>
      <c r="B122" s="4">
        <v>45468</v>
      </c>
      <c r="C122" s="8">
        <v>10.11</v>
      </c>
      <c r="D122" s="8">
        <v>10.18</v>
      </c>
      <c r="E122" s="8">
        <v>10.029999999999999</v>
      </c>
      <c r="F122" s="8">
        <v>10.11</v>
      </c>
      <c r="G122" s="3">
        <v>177978</v>
      </c>
      <c r="H122" s="8">
        <v>9460.9</v>
      </c>
      <c r="I122" s="3">
        <v>935796267</v>
      </c>
      <c r="J122" s="3"/>
    </row>
    <row r="123" spans="1:10" ht="15" customHeight="1" x14ac:dyDescent="0.2">
      <c r="A123" t="s">
        <v>9</v>
      </c>
      <c r="B123" s="4">
        <v>45469</v>
      </c>
      <c r="C123" s="8">
        <v>10.130000000000001</v>
      </c>
      <c r="D123" s="8">
        <v>10.25</v>
      </c>
      <c r="E123" s="8">
        <v>10.07</v>
      </c>
      <c r="F123" s="8">
        <v>10.220000000000001</v>
      </c>
      <c r="G123" s="3">
        <v>1088055</v>
      </c>
      <c r="H123" s="8">
        <v>9601.17</v>
      </c>
      <c r="I123" s="3">
        <v>939448680</v>
      </c>
      <c r="J123" s="3"/>
    </row>
    <row r="124" spans="1:10" ht="15" customHeight="1" x14ac:dyDescent="0.2">
      <c r="A124" t="s">
        <v>9</v>
      </c>
      <c r="B124" s="4">
        <v>45470</v>
      </c>
      <c r="C124" s="8">
        <v>10.17</v>
      </c>
      <c r="D124" s="8">
        <v>10.23</v>
      </c>
      <c r="E124" s="8">
        <v>10.029999999999999</v>
      </c>
      <c r="F124" s="8">
        <v>10.18</v>
      </c>
      <c r="G124" s="3">
        <v>177680</v>
      </c>
      <c r="H124" s="8">
        <v>9563.59</v>
      </c>
      <c r="I124" s="3">
        <v>939448680</v>
      </c>
      <c r="J124" s="3"/>
    </row>
    <row r="125" spans="1:10" ht="15" customHeight="1" x14ac:dyDescent="0.2">
      <c r="A125" t="s">
        <v>9</v>
      </c>
      <c r="B125" s="4">
        <v>45471</v>
      </c>
      <c r="C125" s="8">
        <v>10.199999999999999</v>
      </c>
      <c r="D125" s="8">
        <v>10.34</v>
      </c>
      <c r="E125" s="8">
        <v>10.130000000000001</v>
      </c>
      <c r="F125" s="8">
        <v>10.34</v>
      </c>
      <c r="G125" s="3">
        <v>1159470</v>
      </c>
      <c r="H125" s="8">
        <v>9713.9</v>
      </c>
      <c r="I125" s="3">
        <v>939448680</v>
      </c>
      <c r="J125" s="3"/>
    </row>
    <row r="126" spans="1:10" ht="15" customHeight="1" x14ac:dyDescent="0.2">
      <c r="A126" t="s">
        <v>9</v>
      </c>
      <c r="B126" s="4">
        <v>45474</v>
      </c>
      <c r="C126" s="8">
        <v>10.5</v>
      </c>
      <c r="D126" s="8">
        <v>10.5</v>
      </c>
      <c r="E126" s="8">
        <v>10.09</v>
      </c>
      <c r="F126" s="8">
        <v>10.18</v>
      </c>
      <c r="G126" s="3">
        <v>386220</v>
      </c>
      <c r="H126" s="8">
        <v>9563.59</v>
      </c>
      <c r="I126" s="3">
        <v>939448680</v>
      </c>
      <c r="J126" s="3"/>
    </row>
    <row r="127" spans="1:10" ht="15" customHeight="1" x14ac:dyDescent="0.2">
      <c r="A127" t="s">
        <v>9</v>
      </c>
      <c r="B127" s="4">
        <v>45475</v>
      </c>
      <c r="C127" s="8">
        <v>10.18</v>
      </c>
      <c r="D127" s="8">
        <v>10.210000000000001</v>
      </c>
      <c r="E127" s="8">
        <v>10.065</v>
      </c>
      <c r="F127" s="8">
        <v>10.19</v>
      </c>
      <c r="G127" s="3">
        <v>277796</v>
      </c>
      <c r="H127" s="8">
        <v>9572.98</v>
      </c>
      <c r="I127" s="3">
        <v>939448680</v>
      </c>
      <c r="J127" s="3"/>
    </row>
    <row r="128" spans="1:10" ht="15" customHeight="1" x14ac:dyDescent="0.2">
      <c r="A128" t="s">
        <v>9</v>
      </c>
      <c r="B128" s="4">
        <v>45476</v>
      </c>
      <c r="C128" s="8">
        <v>10.25</v>
      </c>
      <c r="D128" s="8">
        <v>10.25</v>
      </c>
      <c r="E128" s="8">
        <v>10.119999999999999</v>
      </c>
      <c r="F128" s="8">
        <v>10.210000000000001</v>
      </c>
      <c r="G128" s="3">
        <v>195695</v>
      </c>
      <c r="H128" s="8">
        <v>9591.77</v>
      </c>
      <c r="I128" s="3">
        <v>939448680</v>
      </c>
      <c r="J128" s="3"/>
    </row>
    <row r="129" spans="1:10" ht="15" customHeight="1" x14ac:dyDescent="0.2">
      <c r="A129" t="s">
        <v>9</v>
      </c>
      <c r="B129" s="4">
        <v>45477</v>
      </c>
      <c r="C129" s="8">
        <v>10.3</v>
      </c>
      <c r="D129" s="8">
        <v>10.3</v>
      </c>
      <c r="E129" s="8">
        <v>10.039999999999999</v>
      </c>
      <c r="F129" s="8">
        <v>10.1</v>
      </c>
      <c r="G129" s="3">
        <v>265623</v>
      </c>
      <c r="H129" s="8">
        <v>9488.43</v>
      </c>
      <c r="I129" s="3">
        <v>939448680</v>
      </c>
      <c r="J129" s="3"/>
    </row>
    <row r="130" spans="1:10" ht="15" customHeight="1" x14ac:dyDescent="0.2">
      <c r="A130" t="s">
        <v>9</v>
      </c>
      <c r="B130" s="4">
        <v>45478</v>
      </c>
      <c r="C130" s="8">
        <v>10.220000000000001</v>
      </c>
      <c r="D130" s="8">
        <v>10.220000000000001</v>
      </c>
      <c r="E130" s="8">
        <v>10.050000000000001</v>
      </c>
      <c r="F130" s="8">
        <v>10.11</v>
      </c>
      <c r="G130" s="3">
        <v>237272</v>
      </c>
      <c r="H130" s="8">
        <v>9497.83</v>
      </c>
      <c r="I130" s="3">
        <v>939448680</v>
      </c>
      <c r="J130" s="3"/>
    </row>
    <row r="131" spans="1:10" ht="15" customHeight="1" x14ac:dyDescent="0.2">
      <c r="A131" t="s">
        <v>9</v>
      </c>
      <c r="B131" s="4">
        <v>45481</v>
      </c>
      <c r="C131" s="8">
        <v>10.15</v>
      </c>
      <c r="D131" s="8">
        <v>10.33</v>
      </c>
      <c r="E131" s="8">
        <v>10.050000000000001</v>
      </c>
      <c r="F131" s="8">
        <v>10.32</v>
      </c>
      <c r="G131" s="3">
        <v>610252</v>
      </c>
      <c r="H131" s="8">
        <v>9695.11</v>
      </c>
      <c r="I131" s="3">
        <v>939448680</v>
      </c>
      <c r="J131" s="3"/>
    </row>
    <row r="132" spans="1:10" ht="15" customHeight="1" x14ac:dyDescent="0.2">
      <c r="A132" t="s">
        <v>9</v>
      </c>
      <c r="B132" s="4">
        <v>45482</v>
      </c>
      <c r="C132" s="8">
        <v>10.27</v>
      </c>
      <c r="D132" s="8">
        <v>10.27</v>
      </c>
      <c r="E132" s="8">
        <v>10.130000000000001</v>
      </c>
      <c r="F132" s="8">
        <v>10.130000000000001</v>
      </c>
      <c r="G132" s="3">
        <v>103003</v>
      </c>
      <c r="H132" s="8">
        <v>9516.6200000000008</v>
      </c>
      <c r="I132" s="3">
        <v>939448680</v>
      </c>
      <c r="J132" s="3"/>
    </row>
    <row r="133" spans="1:10" ht="15" customHeight="1" x14ac:dyDescent="0.2">
      <c r="A133" t="s">
        <v>9</v>
      </c>
      <c r="B133" s="4">
        <v>45483</v>
      </c>
      <c r="C133" s="8">
        <v>10.18</v>
      </c>
      <c r="D133" s="8">
        <v>10.18</v>
      </c>
      <c r="E133" s="8">
        <v>10.050000000000001</v>
      </c>
      <c r="F133" s="8">
        <v>10.06</v>
      </c>
      <c r="G133" s="3">
        <v>166776</v>
      </c>
      <c r="H133" s="8">
        <v>9450.85</v>
      </c>
      <c r="I133" s="3">
        <v>939448680</v>
      </c>
      <c r="J133" s="3"/>
    </row>
    <row r="134" spans="1:10" ht="15" customHeight="1" x14ac:dyDescent="0.2">
      <c r="A134" t="s">
        <v>9</v>
      </c>
      <c r="B134" s="4">
        <v>45484</v>
      </c>
      <c r="C134" s="8">
        <v>10.130000000000001</v>
      </c>
      <c r="D134" s="8">
        <v>10.130000000000001</v>
      </c>
      <c r="E134" s="8">
        <v>10.039999999999999</v>
      </c>
      <c r="F134" s="8">
        <v>10.08</v>
      </c>
      <c r="G134" s="3">
        <v>71967</v>
      </c>
      <c r="H134" s="8">
        <v>9469.64</v>
      </c>
      <c r="I134" s="3">
        <v>939448680</v>
      </c>
      <c r="J134" s="3"/>
    </row>
    <row r="135" spans="1:10" ht="15" customHeight="1" x14ac:dyDescent="0.2">
      <c r="A135" t="s">
        <v>9</v>
      </c>
      <c r="B135" s="4">
        <v>45485</v>
      </c>
      <c r="C135" s="8">
        <v>10.08</v>
      </c>
      <c r="D135" s="8">
        <v>10.08</v>
      </c>
      <c r="E135" s="8">
        <v>9.85</v>
      </c>
      <c r="F135" s="8">
        <v>9.8800000000000008</v>
      </c>
      <c r="G135" s="3">
        <v>140184</v>
      </c>
      <c r="H135" s="8">
        <v>9281.75</v>
      </c>
      <c r="I135" s="3">
        <v>939448680</v>
      </c>
      <c r="J135" s="3"/>
    </row>
    <row r="136" spans="1:10" ht="15" customHeight="1" x14ac:dyDescent="0.2">
      <c r="A136" t="s">
        <v>9</v>
      </c>
      <c r="B136" s="4">
        <v>45488</v>
      </c>
      <c r="C136" s="8">
        <v>9.8800000000000008</v>
      </c>
      <c r="D136" s="8">
        <v>9.8800000000000008</v>
      </c>
      <c r="E136" s="8">
        <v>9.65</v>
      </c>
      <c r="F136" s="8">
        <v>9.69</v>
      </c>
      <c r="G136" s="3">
        <v>178435</v>
      </c>
      <c r="H136" s="8">
        <v>9103.26</v>
      </c>
      <c r="I136" s="3">
        <v>939448680</v>
      </c>
      <c r="J136" s="3"/>
    </row>
    <row r="137" spans="1:10" ht="15" customHeight="1" x14ac:dyDescent="0.2">
      <c r="A137" t="s">
        <v>9</v>
      </c>
      <c r="B137" s="4">
        <v>45489</v>
      </c>
      <c r="C137" s="8">
        <v>9.6999999999999993</v>
      </c>
      <c r="D137" s="8">
        <v>9.6999999999999993</v>
      </c>
      <c r="E137" s="8">
        <v>9.5399999999999991</v>
      </c>
      <c r="F137" s="8">
        <v>9.56</v>
      </c>
      <c r="G137" s="3">
        <v>194888</v>
      </c>
      <c r="H137" s="8">
        <v>9240.14</v>
      </c>
      <c r="I137" s="3">
        <v>966542280</v>
      </c>
      <c r="J137" s="3"/>
    </row>
    <row r="138" spans="1:10" ht="15" customHeight="1" x14ac:dyDescent="0.2">
      <c r="A138" t="s">
        <v>9</v>
      </c>
      <c r="B138" s="4">
        <v>45490</v>
      </c>
      <c r="C138" s="8">
        <v>9.69</v>
      </c>
      <c r="D138" s="8">
        <v>9.9</v>
      </c>
      <c r="E138" s="8">
        <v>9.68</v>
      </c>
      <c r="F138" s="8">
        <v>9.73</v>
      </c>
      <c r="G138" s="3">
        <v>230823</v>
      </c>
      <c r="H138" s="8">
        <v>9404.4599999999991</v>
      </c>
      <c r="I138" s="3">
        <v>966542280</v>
      </c>
      <c r="J138" s="3"/>
    </row>
    <row r="139" spans="1:10" ht="15" customHeight="1" x14ac:dyDescent="0.2">
      <c r="A139" t="s">
        <v>9</v>
      </c>
      <c r="B139" s="4">
        <v>45491</v>
      </c>
      <c r="C139" s="8">
        <v>9.83</v>
      </c>
      <c r="D139" s="8">
        <v>9.86</v>
      </c>
      <c r="E139" s="8">
        <v>9.7100000000000009</v>
      </c>
      <c r="F139" s="8">
        <v>9.86</v>
      </c>
      <c r="G139" s="3">
        <v>99559</v>
      </c>
      <c r="H139" s="8">
        <v>9530.11</v>
      </c>
      <c r="I139" s="3">
        <v>966542280</v>
      </c>
      <c r="J139" s="3"/>
    </row>
    <row r="140" spans="1:10" ht="15" customHeight="1" x14ac:dyDescent="0.2">
      <c r="A140" t="s">
        <v>9</v>
      </c>
      <c r="B140" s="4">
        <v>45492</v>
      </c>
      <c r="C140" s="8">
        <v>9.8699999999999992</v>
      </c>
      <c r="D140" s="8">
        <v>9.8699999999999992</v>
      </c>
      <c r="E140" s="8">
        <v>9.67</v>
      </c>
      <c r="F140" s="8">
        <v>9.74</v>
      </c>
      <c r="G140" s="3">
        <v>76429</v>
      </c>
      <c r="H140" s="8">
        <v>9414.1200000000008</v>
      </c>
      <c r="I140" s="3">
        <v>966542280</v>
      </c>
      <c r="J140" s="3"/>
    </row>
    <row r="141" spans="1:10" ht="15" customHeight="1" x14ac:dyDescent="0.2">
      <c r="A141" t="s">
        <v>9</v>
      </c>
      <c r="B141" s="4">
        <v>45495</v>
      </c>
      <c r="C141" s="8">
        <v>9.7200000000000006</v>
      </c>
      <c r="D141" s="8">
        <v>9.7899999999999991</v>
      </c>
      <c r="E141" s="8">
        <v>9.69</v>
      </c>
      <c r="F141" s="8">
        <v>9.6999999999999993</v>
      </c>
      <c r="G141" s="3">
        <v>297985</v>
      </c>
      <c r="H141" s="8">
        <v>9375.4599999999991</v>
      </c>
      <c r="I141" s="3">
        <v>966542280</v>
      </c>
      <c r="J141" s="3"/>
    </row>
    <row r="142" spans="1:10" ht="15" customHeight="1" x14ac:dyDescent="0.2">
      <c r="A142" t="s">
        <v>9</v>
      </c>
      <c r="B142" s="4">
        <v>45496</v>
      </c>
      <c r="C142" s="8">
        <v>9.73</v>
      </c>
      <c r="D142" s="8">
        <v>9.84</v>
      </c>
      <c r="E142" s="8">
        <v>9.69</v>
      </c>
      <c r="F142" s="8">
        <v>9.81</v>
      </c>
      <c r="G142" s="3">
        <v>368404</v>
      </c>
      <c r="H142" s="8">
        <v>9481.7800000000007</v>
      </c>
      <c r="I142" s="3">
        <v>966542280</v>
      </c>
      <c r="J142" s="3"/>
    </row>
    <row r="143" spans="1:10" ht="15" customHeight="1" x14ac:dyDescent="0.2">
      <c r="A143" t="s">
        <v>9</v>
      </c>
      <c r="B143" s="4">
        <v>45497</v>
      </c>
      <c r="C143" s="8">
        <v>9.8000000000000007</v>
      </c>
      <c r="D143" s="8">
        <v>10</v>
      </c>
      <c r="E143" s="8">
        <v>9.76</v>
      </c>
      <c r="F143" s="8">
        <v>10</v>
      </c>
      <c r="G143" s="3">
        <v>123555</v>
      </c>
      <c r="H143" s="8">
        <v>9665.42</v>
      </c>
      <c r="I143" s="3">
        <v>966542280</v>
      </c>
      <c r="J143" s="3"/>
    </row>
    <row r="144" spans="1:10" ht="15" customHeight="1" x14ac:dyDescent="0.2">
      <c r="A144" t="s">
        <v>9</v>
      </c>
      <c r="B144" s="4">
        <v>45498</v>
      </c>
      <c r="C144" s="8">
        <v>9.91</v>
      </c>
      <c r="D144" s="8">
        <v>9.9499999999999993</v>
      </c>
      <c r="E144" s="8">
        <v>9.85</v>
      </c>
      <c r="F144" s="8">
        <v>9.85</v>
      </c>
      <c r="G144" s="3">
        <v>153133</v>
      </c>
      <c r="H144" s="8">
        <v>9520.44</v>
      </c>
      <c r="I144" s="3">
        <v>966542280</v>
      </c>
      <c r="J144" s="3"/>
    </row>
    <row r="145" spans="1:10" ht="15" customHeight="1" x14ac:dyDescent="0.2">
      <c r="A145" t="s">
        <v>9</v>
      </c>
      <c r="B145" s="4">
        <v>45499</v>
      </c>
      <c r="C145" s="8">
        <v>9.9</v>
      </c>
      <c r="D145" s="8">
        <v>9.9</v>
      </c>
      <c r="E145" s="8">
        <v>9.7100000000000009</v>
      </c>
      <c r="F145" s="8">
        <v>9.7200000000000006</v>
      </c>
      <c r="G145" s="3">
        <v>160796</v>
      </c>
      <c r="H145" s="8">
        <v>9394.7900000000009</v>
      </c>
      <c r="I145" s="3">
        <v>966542280</v>
      </c>
      <c r="J145" s="3"/>
    </row>
    <row r="146" spans="1:10" ht="15" customHeight="1" x14ac:dyDescent="0.2">
      <c r="A146" t="s">
        <v>9</v>
      </c>
      <c r="B146" s="4">
        <v>45502</v>
      </c>
      <c r="C146" s="8">
        <v>9.7799999999999994</v>
      </c>
      <c r="D146" s="8">
        <v>9.7899999999999991</v>
      </c>
      <c r="E146" s="8">
        <v>9.7200000000000006</v>
      </c>
      <c r="F146" s="8">
        <v>9.76</v>
      </c>
      <c r="G146" s="3">
        <v>109028</v>
      </c>
      <c r="H146" s="8">
        <v>9433.4500000000007</v>
      </c>
      <c r="I146" s="3">
        <v>966542280</v>
      </c>
      <c r="J146" s="3"/>
    </row>
    <row r="147" spans="1:10" ht="15" customHeight="1" x14ac:dyDescent="0.2">
      <c r="A147" t="s">
        <v>9</v>
      </c>
      <c r="B147" s="4">
        <v>45503</v>
      </c>
      <c r="C147" s="8">
        <v>9.92</v>
      </c>
      <c r="D147" s="8">
        <v>9.92</v>
      </c>
      <c r="E147" s="8">
        <v>9.69</v>
      </c>
      <c r="F147" s="8">
        <v>9.76</v>
      </c>
      <c r="G147" s="3">
        <v>129240</v>
      </c>
      <c r="H147" s="8">
        <v>9433.4500000000007</v>
      </c>
      <c r="I147" s="3">
        <v>966542280</v>
      </c>
      <c r="J147" s="3"/>
    </row>
    <row r="148" spans="1:10" ht="15" customHeight="1" x14ac:dyDescent="0.2">
      <c r="A148" t="s">
        <v>9</v>
      </c>
      <c r="B148" s="4">
        <v>45504</v>
      </c>
      <c r="C148" s="8">
        <v>9.8699999999999992</v>
      </c>
      <c r="D148" s="8">
        <v>9.8800000000000008</v>
      </c>
      <c r="E148" s="8">
        <v>9.7899999999999991</v>
      </c>
      <c r="F148" s="8">
        <v>9.82</v>
      </c>
      <c r="G148" s="3">
        <v>390401</v>
      </c>
      <c r="H148" s="8">
        <v>9491.4500000000007</v>
      </c>
      <c r="I148" s="3">
        <v>966542280</v>
      </c>
      <c r="J148" s="3"/>
    </row>
    <row r="149" spans="1:10" ht="15" customHeight="1" x14ac:dyDescent="0.2">
      <c r="A149" t="s">
        <v>9</v>
      </c>
      <c r="B149" s="4">
        <v>45505</v>
      </c>
      <c r="C149" s="8">
        <v>9.89</v>
      </c>
      <c r="D149" s="8">
        <v>9.89</v>
      </c>
      <c r="E149" s="8">
        <v>9.76</v>
      </c>
      <c r="F149" s="8">
        <v>9.85</v>
      </c>
      <c r="G149" s="3">
        <v>325900</v>
      </c>
      <c r="H149" s="8">
        <v>9520.44</v>
      </c>
      <c r="I149" s="3">
        <v>966542280</v>
      </c>
      <c r="J149" s="3"/>
    </row>
    <row r="150" spans="1:10" ht="15" customHeight="1" x14ac:dyDescent="0.2">
      <c r="A150" t="s">
        <v>9</v>
      </c>
      <c r="B150" s="4">
        <v>45506</v>
      </c>
      <c r="C150" s="8">
        <v>9.85</v>
      </c>
      <c r="D150" s="8">
        <v>9.9</v>
      </c>
      <c r="E150" s="8">
        <v>9.7100000000000009</v>
      </c>
      <c r="F150" s="8">
        <v>9.9</v>
      </c>
      <c r="G150" s="3">
        <v>204085</v>
      </c>
      <c r="H150" s="8">
        <v>9568.77</v>
      </c>
      <c r="I150" s="3">
        <v>966542280</v>
      </c>
      <c r="J150" s="3"/>
    </row>
    <row r="151" spans="1:10" ht="15" customHeight="1" x14ac:dyDescent="0.2">
      <c r="A151" t="s">
        <v>9</v>
      </c>
      <c r="B151" s="4">
        <v>45509</v>
      </c>
      <c r="C151" s="8">
        <v>9.83</v>
      </c>
      <c r="D151" s="8">
        <v>9.83</v>
      </c>
      <c r="E151" s="8">
        <v>9.48</v>
      </c>
      <c r="F151" s="8">
        <v>9.5399999999999991</v>
      </c>
      <c r="G151" s="3">
        <v>310256</v>
      </c>
      <c r="H151" s="8">
        <v>9220.81</v>
      </c>
      <c r="I151" s="3">
        <v>966542280</v>
      </c>
      <c r="J151" s="3"/>
    </row>
    <row r="152" spans="1:10" ht="15" customHeight="1" x14ac:dyDescent="0.2">
      <c r="A152" t="s">
        <v>9</v>
      </c>
      <c r="B152" s="4">
        <v>45510</v>
      </c>
      <c r="C152" s="8">
        <v>9.5399999999999991</v>
      </c>
      <c r="D152" s="8">
        <v>9.6199999999999992</v>
      </c>
      <c r="E152" s="8">
        <v>9.51</v>
      </c>
      <c r="F152" s="8">
        <v>9.5500000000000007</v>
      </c>
      <c r="G152" s="3">
        <v>181272</v>
      </c>
      <c r="H152" s="8">
        <v>9230.48</v>
      </c>
      <c r="I152" s="3">
        <v>966542280</v>
      </c>
      <c r="J152" s="3"/>
    </row>
    <row r="153" spans="1:10" ht="15" customHeight="1" x14ac:dyDescent="0.2">
      <c r="A153" t="s">
        <v>9</v>
      </c>
      <c r="B153" s="4">
        <v>45511</v>
      </c>
      <c r="C153" s="8">
        <v>9.65</v>
      </c>
      <c r="D153" s="8">
        <v>9.74</v>
      </c>
      <c r="E153" s="8">
        <v>9.58</v>
      </c>
      <c r="F153" s="8">
        <v>9.7200000000000006</v>
      </c>
      <c r="G153" s="3">
        <v>171401</v>
      </c>
      <c r="H153" s="8">
        <v>9394.7900000000009</v>
      </c>
      <c r="I153" s="3">
        <v>966542280</v>
      </c>
      <c r="J153" s="3"/>
    </row>
    <row r="154" spans="1:10" ht="15" customHeight="1" x14ac:dyDescent="0.2">
      <c r="A154" t="s">
        <v>9</v>
      </c>
      <c r="B154" s="4">
        <v>45512</v>
      </c>
      <c r="C154" s="8">
        <v>9.66</v>
      </c>
      <c r="D154" s="8">
        <v>9.7899999999999991</v>
      </c>
      <c r="E154" s="8">
        <v>9.6</v>
      </c>
      <c r="F154" s="8">
        <v>9.7200000000000006</v>
      </c>
      <c r="G154" s="3">
        <v>305827</v>
      </c>
      <c r="H154" s="8">
        <v>9394.7900000000009</v>
      </c>
      <c r="I154" s="3">
        <v>966542280</v>
      </c>
      <c r="J154" s="3"/>
    </row>
    <row r="155" spans="1:10" ht="15" customHeight="1" x14ac:dyDescent="0.2">
      <c r="A155" t="s">
        <v>9</v>
      </c>
      <c r="B155" s="4">
        <v>45513</v>
      </c>
      <c r="C155" s="8">
        <v>9.76</v>
      </c>
      <c r="D155" s="8">
        <v>9.7899999999999991</v>
      </c>
      <c r="E155" s="8">
        <v>9.6349999999999998</v>
      </c>
      <c r="F155" s="8">
        <v>9.77</v>
      </c>
      <c r="G155" s="3">
        <v>145983</v>
      </c>
      <c r="H155" s="8">
        <v>9443.1200000000008</v>
      </c>
      <c r="I155" s="3">
        <v>966542280</v>
      </c>
      <c r="J155" s="3"/>
    </row>
    <row r="156" spans="1:10" ht="15" customHeight="1" x14ac:dyDescent="0.2">
      <c r="A156" t="s">
        <v>9</v>
      </c>
      <c r="B156" s="4">
        <v>45516</v>
      </c>
      <c r="C156" s="8">
        <v>9.7899999999999991</v>
      </c>
      <c r="D156" s="8">
        <v>9.7899999999999991</v>
      </c>
      <c r="E156" s="8">
        <v>9.6199999999999992</v>
      </c>
      <c r="F156" s="8">
        <v>9.65</v>
      </c>
      <c r="G156" s="3">
        <v>193359</v>
      </c>
      <c r="H156" s="8">
        <v>9327.1299999999992</v>
      </c>
      <c r="I156" s="3">
        <v>966542280</v>
      </c>
      <c r="J156" s="3"/>
    </row>
    <row r="157" spans="1:10" ht="15" customHeight="1" x14ac:dyDescent="0.2">
      <c r="A157" t="s">
        <v>9</v>
      </c>
      <c r="B157" s="4">
        <v>45517</v>
      </c>
      <c r="C157" s="8">
        <v>9.7100000000000009</v>
      </c>
      <c r="D157" s="8">
        <v>9.73</v>
      </c>
      <c r="E157" s="8">
        <v>9.61</v>
      </c>
      <c r="F157" s="8">
        <v>9.68</v>
      </c>
      <c r="G157" s="3">
        <v>159721</v>
      </c>
      <c r="H157" s="8">
        <v>9356.1299999999992</v>
      </c>
      <c r="I157" s="3">
        <v>966542280</v>
      </c>
      <c r="J157" s="3"/>
    </row>
    <row r="158" spans="1:10" ht="15" customHeight="1" x14ac:dyDescent="0.2">
      <c r="A158" t="s">
        <v>9</v>
      </c>
      <c r="B158" s="4">
        <v>45518</v>
      </c>
      <c r="C158" s="8">
        <v>9.6999999999999993</v>
      </c>
      <c r="D158" s="8">
        <v>9.75</v>
      </c>
      <c r="E158" s="8">
        <v>9.59</v>
      </c>
      <c r="F158" s="8">
        <v>9.59</v>
      </c>
      <c r="G158" s="3">
        <v>1056118</v>
      </c>
      <c r="H158" s="8">
        <v>9269.14</v>
      </c>
      <c r="I158" s="3">
        <v>966542280</v>
      </c>
      <c r="J158" s="3"/>
    </row>
    <row r="159" spans="1:10" ht="15" customHeight="1" x14ac:dyDescent="0.2">
      <c r="A159" t="s">
        <v>9</v>
      </c>
      <c r="B159" s="4">
        <v>45519</v>
      </c>
      <c r="C159" s="8">
        <v>9.6</v>
      </c>
      <c r="D159" s="8">
        <v>9.81</v>
      </c>
      <c r="E159" s="8">
        <v>9.57</v>
      </c>
      <c r="F159" s="8">
        <v>9.81</v>
      </c>
      <c r="G159" s="3">
        <v>243765</v>
      </c>
      <c r="H159" s="8">
        <v>9481.7800000000007</v>
      </c>
      <c r="I159" s="3">
        <v>966542280</v>
      </c>
      <c r="J159" s="3"/>
    </row>
    <row r="160" spans="1:10" ht="15" customHeight="1" x14ac:dyDescent="0.2">
      <c r="A160" t="s">
        <v>9</v>
      </c>
      <c r="B160" s="4">
        <v>45520</v>
      </c>
      <c r="C160" s="8">
        <v>9.75</v>
      </c>
      <c r="D160" s="8">
        <v>9.9499999999999993</v>
      </c>
      <c r="E160" s="8">
        <v>9.75</v>
      </c>
      <c r="F160" s="8">
        <v>9.92</v>
      </c>
      <c r="G160" s="3">
        <v>135187</v>
      </c>
      <c r="H160" s="8">
        <v>9588.1</v>
      </c>
      <c r="I160" s="3">
        <v>966542280</v>
      </c>
      <c r="J160" s="3"/>
    </row>
    <row r="161" spans="1:10" ht="15" customHeight="1" x14ac:dyDescent="0.2">
      <c r="A161" t="s">
        <v>9</v>
      </c>
      <c r="B161" s="4">
        <v>45523</v>
      </c>
      <c r="C161" s="8">
        <v>9.86</v>
      </c>
      <c r="D161" s="8">
        <v>10.039999999999999</v>
      </c>
      <c r="E161" s="8">
        <v>9.8000000000000007</v>
      </c>
      <c r="F161" s="8">
        <v>10</v>
      </c>
      <c r="G161" s="3">
        <v>172682</v>
      </c>
      <c r="H161" s="8">
        <v>9665.42</v>
      </c>
      <c r="I161" s="3">
        <v>966542280</v>
      </c>
      <c r="J161" s="3"/>
    </row>
    <row r="162" spans="1:10" ht="15" customHeight="1" x14ac:dyDescent="0.2">
      <c r="A162" t="s">
        <v>9</v>
      </c>
      <c r="B162" s="4">
        <v>45524</v>
      </c>
      <c r="C162" s="8">
        <v>10.050000000000001</v>
      </c>
      <c r="D162" s="8">
        <v>10.050000000000001</v>
      </c>
      <c r="E162" s="8">
        <v>9.9499999999999993</v>
      </c>
      <c r="F162" s="8">
        <v>10.02</v>
      </c>
      <c r="G162" s="3">
        <v>412601</v>
      </c>
      <c r="H162" s="8">
        <v>9684.75</v>
      </c>
      <c r="I162" s="3">
        <v>966542280</v>
      </c>
      <c r="J162" s="3"/>
    </row>
    <row r="163" spans="1:10" ht="15" customHeight="1" x14ac:dyDescent="0.2">
      <c r="A163" t="s">
        <v>9</v>
      </c>
      <c r="B163" s="4">
        <v>45525</v>
      </c>
      <c r="C163" s="8">
        <v>9.94</v>
      </c>
      <c r="D163" s="8">
        <v>10.08</v>
      </c>
      <c r="E163" s="8">
        <v>9.93</v>
      </c>
      <c r="F163" s="8">
        <v>10.07</v>
      </c>
      <c r="G163" s="3">
        <v>264291</v>
      </c>
      <c r="H163" s="8">
        <v>9733.08</v>
      </c>
      <c r="I163" s="3">
        <v>966542280</v>
      </c>
      <c r="J163" s="3"/>
    </row>
    <row r="164" spans="1:10" ht="15" customHeight="1" x14ac:dyDescent="0.2">
      <c r="A164" t="s">
        <v>9</v>
      </c>
      <c r="B164" s="4">
        <v>45526</v>
      </c>
      <c r="C164" s="8">
        <v>10.02</v>
      </c>
      <c r="D164" s="8">
        <v>10.1</v>
      </c>
      <c r="E164" s="8">
        <v>9.9600000000000009</v>
      </c>
      <c r="F164" s="8">
        <v>9.9600000000000009</v>
      </c>
      <c r="G164" s="3">
        <v>154241</v>
      </c>
      <c r="H164" s="8">
        <v>9626.76</v>
      </c>
      <c r="I164" s="3">
        <v>966542280</v>
      </c>
      <c r="J164" s="3"/>
    </row>
    <row r="165" spans="1:10" ht="15" customHeight="1" x14ac:dyDescent="0.2">
      <c r="A165" t="s">
        <v>9</v>
      </c>
      <c r="B165" s="4">
        <v>45527</v>
      </c>
      <c r="C165" s="8">
        <v>9.9499999999999993</v>
      </c>
      <c r="D165" s="8">
        <v>10.14</v>
      </c>
      <c r="E165" s="8">
        <v>9.93</v>
      </c>
      <c r="F165" s="8">
        <v>10.14</v>
      </c>
      <c r="G165" s="3">
        <v>108309</v>
      </c>
      <c r="H165" s="8">
        <v>9800.74</v>
      </c>
      <c r="I165" s="3">
        <v>966542280</v>
      </c>
      <c r="J165" s="3"/>
    </row>
    <row r="166" spans="1:10" ht="15" customHeight="1" x14ac:dyDescent="0.2">
      <c r="A166" t="s">
        <v>9</v>
      </c>
      <c r="B166" s="4">
        <v>45530</v>
      </c>
      <c r="C166" s="8">
        <v>10.19</v>
      </c>
      <c r="D166" s="8">
        <v>10.26</v>
      </c>
      <c r="E166" s="8">
        <v>10.029999999999999</v>
      </c>
      <c r="F166" s="8">
        <v>10.029999999999999</v>
      </c>
      <c r="G166" s="3">
        <v>258178</v>
      </c>
      <c r="H166" s="8">
        <v>9694.42</v>
      </c>
      <c r="I166" s="3">
        <v>966542280</v>
      </c>
      <c r="J166" s="3"/>
    </row>
    <row r="167" spans="1:10" ht="15" customHeight="1" x14ac:dyDescent="0.2">
      <c r="A167" t="s">
        <v>9</v>
      </c>
      <c r="B167" s="4">
        <v>45531</v>
      </c>
      <c r="C167" s="8">
        <v>10.050000000000001</v>
      </c>
      <c r="D167" s="8">
        <v>10.06</v>
      </c>
      <c r="E167" s="8">
        <v>9.98</v>
      </c>
      <c r="F167" s="8">
        <v>10.02</v>
      </c>
      <c r="G167" s="3">
        <v>154325</v>
      </c>
      <c r="H167" s="8">
        <v>9684.75</v>
      </c>
      <c r="I167" s="3">
        <v>966542280</v>
      </c>
      <c r="J167" s="3"/>
    </row>
    <row r="168" spans="1:10" ht="15" customHeight="1" x14ac:dyDescent="0.2">
      <c r="A168" t="s">
        <v>9</v>
      </c>
      <c r="B168" s="4">
        <v>45532</v>
      </c>
      <c r="C168" s="8">
        <v>10.050000000000001</v>
      </c>
      <c r="D168" s="8">
        <v>10.15</v>
      </c>
      <c r="E168" s="8">
        <v>9.9749999999999996</v>
      </c>
      <c r="F168" s="8">
        <v>10.07</v>
      </c>
      <c r="G168" s="3">
        <v>307225</v>
      </c>
      <c r="H168" s="8">
        <v>9733.08</v>
      </c>
      <c r="I168" s="3">
        <v>966542280</v>
      </c>
      <c r="J168" s="3"/>
    </row>
    <row r="169" spans="1:10" ht="15" customHeight="1" x14ac:dyDescent="0.2">
      <c r="A169" t="s">
        <v>9</v>
      </c>
      <c r="B169" s="4">
        <v>45533</v>
      </c>
      <c r="C169" s="8">
        <v>10.01</v>
      </c>
      <c r="D169" s="8">
        <v>10.09</v>
      </c>
      <c r="E169" s="8">
        <v>9.99</v>
      </c>
      <c r="F169" s="8">
        <v>10.01</v>
      </c>
      <c r="G169" s="3">
        <v>166830</v>
      </c>
      <c r="H169" s="8">
        <v>9675.09</v>
      </c>
      <c r="I169" s="3">
        <v>966542280</v>
      </c>
      <c r="J169" s="3"/>
    </row>
    <row r="170" spans="1:10" ht="15" customHeight="1" x14ac:dyDescent="0.2">
      <c r="A170" t="s">
        <v>9</v>
      </c>
      <c r="B170" s="4">
        <v>45534</v>
      </c>
      <c r="C170" s="8">
        <v>10.1</v>
      </c>
      <c r="D170" s="8">
        <v>10.210000000000001</v>
      </c>
      <c r="E170" s="8">
        <v>10.08</v>
      </c>
      <c r="F170" s="8">
        <v>10.14</v>
      </c>
      <c r="G170" s="3">
        <v>233876</v>
      </c>
      <c r="H170" s="8">
        <v>9800.74</v>
      </c>
      <c r="I170" s="3">
        <v>966542280</v>
      </c>
      <c r="J170" s="3"/>
    </row>
    <row r="171" spans="1:10" ht="15" customHeight="1" x14ac:dyDescent="0.2">
      <c r="A171" t="s">
        <v>9</v>
      </c>
      <c r="B171" s="4">
        <v>45537</v>
      </c>
      <c r="C171" s="8">
        <v>10.17</v>
      </c>
      <c r="D171" s="8">
        <v>10.33</v>
      </c>
      <c r="E171" s="8">
        <v>10.119999999999999</v>
      </c>
      <c r="F171" s="8">
        <v>10.28</v>
      </c>
      <c r="G171" s="3">
        <v>258296</v>
      </c>
      <c r="H171" s="8">
        <v>9936.0499999999993</v>
      </c>
      <c r="I171" s="3">
        <v>966542280</v>
      </c>
      <c r="J171" s="3"/>
    </row>
    <row r="172" spans="1:10" ht="15" customHeight="1" x14ac:dyDescent="0.2">
      <c r="A172" t="s">
        <v>9</v>
      </c>
      <c r="B172" s="4">
        <v>45538</v>
      </c>
      <c r="C172" s="8">
        <v>10.050000000000001</v>
      </c>
      <c r="D172" s="8">
        <v>10.3</v>
      </c>
      <c r="E172" s="8">
        <v>10.050000000000001</v>
      </c>
      <c r="F172" s="8">
        <v>10.27</v>
      </c>
      <c r="G172" s="3">
        <v>161045</v>
      </c>
      <c r="H172" s="8">
        <v>9926.39</v>
      </c>
      <c r="I172" s="3">
        <v>966542280</v>
      </c>
      <c r="J172" s="3"/>
    </row>
    <row r="173" spans="1:10" ht="15" customHeight="1" x14ac:dyDescent="0.2">
      <c r="A173" t="s">
        <v>9</v>
      </c>
      <c r="B173" s="4">
        <v>45539</v>
      </c>
      <c r="C173" s="8">
        <v>10.29</v>
      </c>
      <c r="D173" s="8">
        <v>10.56</v>
      </c>
      <c r="E173" s="8">
        <v>10.27</v>
      </c>
      <c r="F173" s="8">
        <v>10.5</v>
      </c>
      <c r="G173" s="3">
        <v>223911</v>
      </c>
      <c r="H173" s="8">
        <v>10148.69</v>
      </c>
      <c r="I173" s="3">
        <v>966542280</v>
      </c>
      <c r="J173" s="3"/>
    </row>
    <row r="174" spans="1:10" ht="15" customHeight="1" x14ac:dyDescent="0.2">
      <c r="A174" t="s">
        <v>9</v>
      </c>
      <c r="B174" s="4">
        <v>45540</v>
      </c>
      <c r="C174" s="8">
        <v>10.6</v>
      </c>
      <c r="D174" s="8">
        <v>11.12</v>
      </c>
      <c r="E174" s="8">
        <v>10.565</v>
      </c>
      <c r="F174" s="8">
        <v>10.9</v>
      </c>
      <c r="G174" s="3">
        <v>275408</v>
      </c>
      <c r="H174" s="8">
        <v>10535.31</v>
      </c>
      <c r="I174" s="3">
        <v>966542280</v>
      </c>
      <c r="J174" s="3"/>
    </row>
    <row r="175" spans="1:10" ht="15" customHeight="1" x14ac:dyDescent="0.2">
      <c r="A175" t="s">
        <v>9</v>
      </c>
      <c r="B175" s="4">
        <v>45541</v>
      </c>
      <c r="C175" s="8">
        <v>10.91</v>
      </c>
      <c r="D175" s="8">
        <v>11.13</v>
      </c>
      <c r="E175" s="8">
        <v>10.81</v>
      </c>
      <c r="F175" s="8">
        <v>11.08</v>
      </c>
      <c r="G175" s="3">
        <v>289556</v>
      </c>
      <c r="H175" s="8">
        <v>10709.29</v>
      </c>
      <c r="I175" s="3">
        <v>966542280</v>
      </c>
      <c r="J175" s="3"/>
    </row>
    <row r="176" spans="1:10" ht="15" customHeight="1" x14ac:dyDescent="0.2">
      <c r="A176" t="s">
        <v>9</v>
      </c>
      <c r="B176" s="4">
        <v>45544</v>
      </c>
      <c r="C176" s="8">
        <v>10.98</v>
      </c>
      <c r="D176" s="8">
        <v>11.24</v>
      </c>
      <c r="E176" s="8">
        <v>10.95</v>
      </c>
      <c r="F176" s="8">
        <v>11.1</v>
      </c>
      <c r="G176" s="3">
        <v>735400</v>
      </c>
      <c r="H176" s="8">
        <v>10728.62</v>
      </c>
      <c r="I176" s="3">
        <v>966542280</v>
      </c>
      <c r="J176" s="3"/>
    </row>
    <row r="177" spans="1:10" ht="15" customHeight="1" x14ac:dyDescent="0.2">
      <c r="A177" t="s">
        <v>9</v>
      </c>
      <c r="B177" s="4">
        <v>45545</v>
      </c>
      <c r="C177" s="8">
        <v>11.2</v>
      </c>
      <c r="D177" s="8">
        <v>11.29</v>
      </c>
      <c r="E177" s="8">
        <v>11.06</v>
      </c>
      <c r="F177" s="8">
        <v>11.08</v>
      </c>
      <c r="G177" s="3">
        <v>480874</v>
      </c>
      <c r="H177" s="8">
        <v>10709.29</v>
      </c>
      <c r="I177" s="3">
        <v>966542280</v>
      </c>
      <c r="J177" s="3"/>
    </row>
    <row r="178" spans="1:10" ht="15" customHeight="1" x14ac:dyDescent="0.2">
      <c r="A178" t="s">
        <v>9</v>
      </c>
      <c r="B178" s="4">
        <v>45546</v>
      </c>
      <c r="C178" s="8">
        <v>11.2</v>
      </c>
      <c r="D178" s="8">
        <v>11.33</v>
      </c>
      <c r="E178" s="8">
        <v>11.16</v>
      </c>
      <c r="F178" s="8">
        <v>11.26</v>
      </c>
      <c r="G178" s="3">
        <v>441325</v>
      </c>
      <c r="H178" s="8">
        <v>10883.27</v>
      </c>
      <c r="I178" s="3">
        <v>966542280</v>
      </c>
      <c r="J178" s="3"/>
    </row>
    <row r="179" spans="1:10" ht="15" customHeight="1" x14ac:dyDescent="0.2">
      <c r="A179" t="s">
        <v>9</v>
      </c>
      <c r="B179" s="4">
        <v>45547</v>
      </c>
      <c r="C179" s="8">
        <v>11.36</v>
      </c>
      <c r="D179" s="8">
        <v>11.52</v>
      </c>
      <c r="E179" s="8">
        <v>11.26</v>
      </c>
      <c r="F179" s="8">
        <v>11.4</v>
      </c>
      <c r="G179" s="3">
        <v>500210</v>
      </c>
      <c r="H179" s="8">
        <v>11018.58</v>
      </c>
      <c r="I179" s="3">
        <v>966542280</v>
      </c>
      <c r="J179" s="3"/>
    </row>
    <row r="180" spans="1:10" ht="15" customHeight="1" x14ac:dyDescent="0.2">
      <c r="A180" t="s">
        <v>9</v>
      </c>
      <c r="B180" s="4">
        <v>45548</v>
      </c>
      <c r="C180" s="8">
        <v>11.42</v>
      </c>
      <c r="D180" s="8">
        <v>11.45</v>
      </c>
      <c r="E180" s="8">
        <v>11.22</v>
      </c>
      <c r="F180" s="8">
        <v>11.26</v>
      </c>
      <c r="G180" s="3">
        <v>329123</v>
      </c>
      <c r="H180" s="8">
        <v>10883.27</v>
      </c>
      <c r="I180" s="3">
        <v>966542280</v>
      </c>
      <c r="J180" s="3"/>
    </row>
    <row r="181" spans="1:10" ht="15" customHeight="1" x14ac:dyDescent="0.2">
      <c r="A181" t="s">
        <v>9</v>
      </c>
      <c r="B181" s="4">
        <v>45551</v>
      </c>
      <c r="C181" s="8">
        <v>11.4</v>
      </c>
      <c r="D181" s="8">
        <v>11.52</v>
      </c>
      <c r="E181" s="8">
        <v>11.11</v>
      </c>
      <c r="F181" s="8">
        <v>11.11</v>
      </c>
      <c r="G181" s="3">
        <v>491700</v>
      </c>
      <c r="H181" s="8">
        <v>10738.28</v>
      </c>
      <c r="I181" s="3">
        <v>966542280</v>
      </c>
      <c r="J181" s="3"/>
    </row>
    <row r="182" spans="1:10" ht="15" customHeight="1" x14ac:dyDescent="0.2">
      <c r="A182" t="s">
        <v>9</v>
      </c>
      <c r="B182" s="4">
        <v>45552</v>
      </c>
      <c r="C182" s="8">
        <v>11.1</v>
      </c>
      <c r="D182" s="8">
        <v>11.37</v>
      </c>
      <c r="E182" s="8">
        <v>11.09</v>
      </c>
      <c r="F182" s="8">
        <v>11.24</v>
      </c>
      <c r="G182" s="3">
        <v>710725</v>
      </c>
      <c r="H182" s="8">
        <v>10863.94</v>
      </c>
      <c r="I182" s="3">
        <v>966542280</v>
      </c>
      <c r="J182" s="3"/>
    </row>
    <row r="183" spans="1:10" ht="15" customHeight="1" x14ac:dyDescent="0.2">
      <c r="A183" t="s">
        <v>9</v>
      </c>
      <c r="B183" s="4">
        <v>45553</v>
      </c>
      <c r="C183" s="8">
        <v>11.66</v>
      </c>
      <c r="D183" s="8">
        <v>11.7</v>
      </c>
      <c r="E183" s="8">
        <v>11.15</v>
      </c>
      <c r="F183" s="8">
        <v>11.15</v>
      </c>
      <c r="G183" s="3">
        <v>347197</v>
      </c>
      <c r="H183" s="8">
        <v>10776.95</v>
      </c>
      <c r="I183" s="3">
        <v>966542280</v>
      </c>
      <c r="J183" s="3"/>
    </row>
    <row r="184" spans="1:10" ht="15" customHeight="1" x14ac:dyDescent="0.2">
      <c r="A184" t="s">
        <v>9</v>
      </c>
      <c r="B184" s="4">
        <v>45554</v>
      </c>
      <c r="C184" s="8">
        <v>11.4</v>
      </c>
      <c r="D184" s="8">
        <v>11.41</v>
      </c>
      <c r="E184" s="8">
        <v>11.18</v>
      </c>
      <c r="F184" s="8">
        <v>11.39</v>
      </c>
      <c r="G184" s="3">
        <v>497334</v>
      </c>
      <c r="H184" s="8">
        <v>11008.92</v>
      </c>
      <c r="I184" s="3">
        <v>966542280</v>
      </c>
      <c r="J184" s="3"/>
    </row>
    <row r="185" spans="1:10" ht="15" customHeight="1" x14ac:dyDescent="0.2">
      <c r="A185" t="s">
        <v>9</v>
      </c>
      <c r="B185" s="4">
        <v>45555</v>
      </c>
      <c r="C185" s="8">
        <v>11.43</v>
      </c>
      <c r="D185" s="8">
        <v>11.65</v>
      </c>
      <c r="E185" s="8">
        <v>11.2</v>
      </c>
      <c r="F185" s="8">
        <v>11.27</v>
      </c>
      <c r="G185" s="3">
        <v>4139537</v>
      </c>
      <c r="H185" s="8">
        <v>10892.93</v>
      </c>
      <c r="I185" s="3">
        <v>966542280</v>
      </c>
      <c r="J185" s="3"/>
    </row>
    <row r="186" spans="1:10" ht="15" customHeight="1" x14ac:dyDescent="0.2">
      <c r="A186" t="s">
        <v>9</v>
      </c>
      <c r="B186" s="4">
        <v>45558</v>
      </c>
      <c r="C186" s="8">
        <v>11.32</v>
      </c>
      <c r="D186" s="8">
        <v>11.33</v>
      </c>
      <c r="E186" s="8">
        <v>11.17</v>
      </c>
      <c r="F186" s="8">
        <v>11.33</v>
      </c>
      <c r="G186" s="3">
        <v>346993</v>
      </c>
      <c r="H186" s="8">
        <v>10950.92</v>
      </c>
      <c r="I186" s="3">
        <v>966542280</v>
      </c>
      <c r="J186" s="3"/>
    </row>
    <row r="187" spans="1:10" ht="15" customHeight="1" x14ac:dyDescent="0.2">
      <c r="A187" t="s">
        <v>9</v>
      </c>
      <c r="B187" s="4">
        <v>45559</v>
      </c>
      <c r="C187" s="8">
        <v>11.33</v>
      </c>
      <c r="D187" s="8">
        <v>11.37</v>
      </c>
      <c r="E187" s="8">
        <v>11.14</v>
      </c>
      <c r="F187" s="8">
        <v>11.17</v>
      </c>
      <c r="G187" s="3">
        <v>245916</v>
      </c>
      <c r="H187" s="8">
        <v>10796.28</v>
      </c>
      <c r="I187" s="3">
        <v>966542280</v>
      </c>
      <c r="J187" s="3"/>
    </row>
    <row r="188" spans="1:10" ht="15" customHeight="1" x14ac:dyDescent="0.2">
      <c r="A188" t="s">
        <v>9</v>
      </c>
      <c r="B188" s="4">
        <v>45560</v>
      </c>
      <c r="C188" s="8">
        <v>11.17</v>
      </c>
      <c r="D188" s="8">
        <v>11.17</v>
      </c>
      <c r="E188" s="8">
        <v>11.02</v>
      </c>
      <c r="F188" s="8">
        <v>11.14</v>
      </c>
      <c r="G188" s="3">
        <v>270959</v>
      </c>
      <c r="H188" s="8">
        <v>10767.28</v>
      </c>
      <c r="I188" s="3">
        <v>966542280</v>
      </c>
      <c r="J188" s="3"/>
    </row>
    <row r="189" spans="1:10" ht="15" customHeight="1" x14ac:dyDescent="0.2">
      <c r="A189" t="s">
        <v>9</v>
      </c>
      <c r="B189" s="4">
        <v>45561</v>
      </c>
      <c r="C189" s="8">
        <v>11.18</v>
      </c>
      <c r="D189" s="8">
        <v>11.35</v>
      </c>
      <c r="E189" s="8">
        <v>11.16</v>
      </c>
      <c r="F189" s="8">
        <v>11.31</v>
      </c>
      <c r="G189" s="3">
        <v>226392</v>
      </c>
      <c r="H189" s="8">
        <v>10931.59</v>
      </c>
      <c r="I189" s="3">
        <v>966542280</v>
      </c>
      <c r="J189" s="3"/>
    </row>
    <row r="190" spans="1:10" ht="15" customHeight="1" x14ac:dyDescent="0.2">
      <c r="A190" t="s">
        <v>9</v>
      </c>
      <c r="B190" s="4">
        <v>45562</v>
      </c>
      <c r="C190" s="8">
        <v>11.34</v>
      </c>
      <c r="D190" s="8">
        <v>11.59</v>
      </c>
      <c r="E190" s="8">
        <v>11.34</v>
      </c>
      <c r="F190" s="8">
        <v>11.42</v>
      </c>
      <c r="G190" s="3">
        <v>344254</v>
      </c>
      <c r="H190" s="8">
        <v>11037.91</v>
      </c>
      <c r="I190" s="3">
        <v>966542280</v>
      </c>
      <c r="J190" s="3"/>
    </row>
    <row r="191" spans="1:10" ht="15" customHeight="1" x14ac:dyDescent="0.2">
      <c r="A191" t="s">
        <v>9</v>
      </c>
      <c r="B191" s="4">
        <v>45565</v>
      </c>
      <c r="C191" s="8">
        <v>11.55</v>
      </c>
      <c r="D191" s="8">
        <v>11.55</v>
      </c>
      <c r="E191" s="8">
        <v>11.25</v>
      </c>
      <c r="F191" s="8">
        <v>11.41</v>
      </c>
      <c r="G191" s="3">
        <v>479634</v>
      </c>
      <c r="H191" s="8">
        <v>11028.25</v>
      </c>
      <c r="I191" s="3">
        <v>966542280</v>
      </c>
      <c r="J191" s="3"/>
    </row>
    <row r="192" spans="1:10" ht="15" customHeight="1" x14ac:dyDescent="0.2">
      <c r="A192" t="s">
        <v>9</v>
      </c>
      <c r="B192" s="4">
        <v>45566</v>
      </c>
      <c r="C192" s="8">
        <v>11.45</v>
      </c>
      <c r="D192" s="8">
        <v>11.45</v>
      </c>
      <c r="E192" s="8">
        <v>11.07</v>
      </c>
      <c r="F192" s="8">
        <v>11.17</v>
      </c>
      <c r="G192" s="3">
        <v>377444</v>
      </c>
      <c r="H192" s="8">
        <v>10796.28</v>
      </c>
      <c r="I192" s="3">
        <v>966542280</v>
      </c>
      <c r="J192" s="3"/>
    </row>
    <row r="193" spans="1:10" ht="15" customHeight="1" x14ac:dyDescent="0.2">
      <c r="A193" t="s">
        <v>9</v>
      </c>
      <c r="B193" s="4">
        <v>45567</v>
      </c>
      <c r="C193" s="8">
        <v>11.13</v>
      </c>
      <c r="D193" s="8">
        <v>11.23</v>
      </c>
      <c r="E193" s="8">
        <v>11.09</v>
      </c>
      <c r="F193" s="8">
        <v>11.18</v>
      </c>
      <c r="G193" s="3">
        <v>219339</v>
      </c>
      <c r="H193" s="8">
        <v>10805.94</v>
      </c>
      <c r="I193" s="3">
        <v>966542280</v>
      </c>
      <c r="J193" s="3"/>
    </row>
    <row r="194" spans="1:10" ht="15" customHeight="1" x14ac:dyDescent="0.2">
      <c r="A194" t="s">
        <v>9</v>
      </c>
      <c r="B194" s="4">
        <v>45568</v>
      </c>
      <c r="C194" s="8">
        <v>11.24</v>
      </c>
      <c r="D194" s="8">
        <v>11.24</v>
      </c>
      <c r="E194" s="8">
        <v>10.96</v>
      </c>
      <c r="F194" s="8">
        <v>11.08</v>
      </c>
      <c r="G194" s="3">
        <v>267411</v>
      </c>
      <c r="H194" s="8">
        <v>10709.29</v>
      </c>
      <c r="I194" s="3">
        <v>966542280</v>
      </c>
      <c r="J194" s="3"/>
    </row>
    <row r="195" spans="1:10" ht="15" customHeight="1" x14ac:dyDescent="0.2">
      <c r="A195" t="s">
        <v>9</v>
      </c>
      <c r="B195" s="4">
        <v>45569</v>
      </c>
      <c r="C195" s="8">
        <v>11.11</v>
      </c>
      <c r="D195" s="8">
        <v>11.25</v>
      </c>
      <c r="E195" s="8">
        <v>10.99</v>
      </c>
      <c r="F195" s="8">
        <v>11.08</v>
      </c>
      <c r="G195" s="3">
        <v>301984</v>
      </c>
      <c r="H195" s="8">
        <v>10709.29</v>
      </c>
      <c r="I195" s="3">
        <v>966542280</v>
      </c>
      <c r="J195" s="3"/>
    </row>
    <row r="196" spans="1:10" ht="15" customHeight="1" x14ac:dyDescent="0.2">
      <c r="A196" t="s">
        <v>9</v>
      </c>
      <c r="B196" s="4">
        <v>45572</v>
      </c>
      <c r="C196" s="8">
        <v>11.16</v>
      </c>
      <c r="D196" s="8">
        <v>11.2</v>
      </c>
      <c r="E196" s="8">
        <v>11.08</v>
      </c>
      <c r="F196" s="8">
        <v>11.16</v>
      </c>
      <c r="G196" s="3">
        <v>159359</v>
      </c>
      <c r="H196" s="8">
        <v>10786.61</v>
      </c>
      <c r="I196" s="3">
        <v>966542280</v>
      </c>
      <c r="J196" s="3"/>
    </row>
    <row r="197" spans="1:10" ht="15" customHeight="1" x14ac:dyDescent="0.2">
      <c r="A197" t="s">
        <v>9</v>
      </c>
      <c r="B197" s="4">
        <v>45573</v>
      </c>
      <c r="C197" s="8">
        <v>11.16</v>
      </c>
      <c r="D197" s="8">
        <v>11.16</v>
      </c>
      <c r="E197" s="8">
        <v>11</v>
      </c>
      <c r="F197" s="8">
        <v>11.04</v>
      </c>
      <c r="G197" s="3">
        <v>255818</v>
      </c>
      <c r="H197" s="8">
        <v>10670.63</v>
      </c>
      <c r="I197" s="3">
        <v>966542280</v>
      </c>
      <c r="J197" s="3"/>
    </row>
    <row r="198" spans="1:10" ht="15" customHeight="1" x14ac:dyDescent="0.2">
      <c r="A198" t="s">
        <v>9</v>
      </c>
      <c r="B198" s="4">
        <v>45574</v>
      </c>
      <c r="C198" s="8">
        <v>11.04</v>
      </c>
      <c r="D198" s="8">
        <v>11.19</v>
      </c>
      <c r="E198" s="8">
        <v>11</v>
      </c>
      <c r="F198" s="8">
        <v>11.17</v>
      </c>
      <c r="G198" s="3">
        <v>293823</v>
      </c>
      <c r="H198" s="8">
        <v>10796.28</v>
      </c>
      <c r="I198" s="3">
        <v>966542280</v>
      </c>
      <c r="J198" s="3"/>
    </row>
    <row r="199" spans="1:10" ht="15" customHeight="1" x14ac:dyDescent="0.2">
      <c r="A199" t="s">
        <v>9</v>
      </c>
      <c r="B199" s="4">
        <v>45575</v>
      </c>
      <c r="C199" s="8">
        <v>11.2</v>
      </c>
      <c r="D199" s="8">
        <v>11.2</v>
      </c>
      <c r="E199" s="8">
        <v>10.87</v>
      </c>
      <c r="F199" s="8">
        <v>10.9</v>
      </c>
      <c r="G199" s="3">
        <v>383539</v>
      </c>
      <c r="H199" s="8">
        <v>10535.31</v>
      </c>
      <c r="I199" s="3">
        <v>966542280</v>
      </c>
      <c r="J199" s="3"/>
    </row>
    <row r="200" spans="1:10" ht="15" customHeight="1" x14ac:dyDescent="0.2">
      <c r="A200" t="s">
        <v>9</v>
      </c>
      <c r="B200" s="4">
        <v>45576</v>
      </c>
      <c r="C200" s="8">
        <v>10.91</v>
      </c>
      <c r="D200" s="8">
        <v>11.175000000000001</v>
      </c>
      <c r="E200" s="8">
        <v>10.9</v>
      </c>
      <c r="F200" s="8">
        <v>11.16</v>
      </c>
      <c r="G200" s="3">
        <v>226820</v>
      </c>
      <c r="H200" s="8">
        <v>10786.61</v>
      </c>
      <c r="I200" s="3">
        <v>966542280</v>
      </c>
      <c r="J200" s="3"/>
    </row>
    <row r="201" spans="1:10" ht="15" customHeight="1" x14ac:dyDescent="0.2">
      <c r="A201" t="s">
        <v>9</v>
      </c>
      <c r="B201" s="4">
        <v>45579</v>
      </c>
      <c r="C201" s="8">
        <v>11.16</v>
      </c>
      <c r="D201" s="8">
        <v>11.18</v>
      </c>
      <c r="E201" s="8">
        <v>10.97</v>
      </c>
      <c r="F201" s="8">
        <v>11.06</v>
      </c>
      <c r="G201" s="3">
        <v>127087</v>
      </c>
      <c r="H201" s="8">
        <v>10689.96</v>
      </c>
      <c r="I201" s="3">
        <v>966542280</v>
      </c>
      <c r="J201" s="3"/>
    </row>
    <row r="202" spans="1:10" ht="15" customHeight="1" x14ac:dyDescent="0.2">
      <c r="A202" t="s">
        <v>9</v>
      </c>
      <c r="B202" s="4">
        <v>45580</v>
      </c>
      <c r="C202" s="8">
        <v>11.1</v>
      </c>
      <c r="D202" s="8">
        <v>11.2</v>
      </c>
      <c r="E202" s="8">
        <v>10.97</v>
      </c>
      <c r="F202" s="8">
        <v>11.12</v>
      </c>
      <c r="G202" s="3">
        <v>375162</v>
      </c>
      <c r="H202" s="8">
        <v>10747.95</v>
      </c>
      <c r="I202" s="3">
        <v>966542280</v>
      </c>
      <c r="J202" s="3"/>
    </row>
    <row r="203" spans="1:10" ht="15" customHeight="1" x14ac:dyDescent="0.2">
      <c r="A203" t="s">
        <v>9</v>
      </c>
      <c r="B203" s="4">
        <v>45581</v>
      </c>
      <c r="C203" s="8">
        <v>11.06</v>
      </c>
      <c r="D203" s="8">
        <v>11.08</v>
      </c>
      <c r="E203" s="8">
        <v>10.87</v>
      </c>
      <c r="F203" s="8">
        <v>10.89</v>
      </c>
      <c r="G203" s="3">
        <v>351476</v>
      </c>
      <c r="H203" s="8">
        <v>10525.65</v>
      </c>
      <c r="I203" s="3">
        <v>966542280</v>
      </c>
      <c r="J203" s="3"/>
    </row>
    <row r="204" spans="1:10" ht="15" customHeight="1" x14ac:dyDescent="0.2">
      <c r="A204" t="s">
        <v>9</v>
      </c>
      <c r="B204" s="4">
        <v>45582</v>
      </c>
      <c r="C204" s="8">
        <v>11.15</v>
      </c>
      <c r="D204" s="8">
        <v>11.15</v>
      </c>
      <c r="E204" s="8">
        <v>10.87</v>
      </c>
      <c r="F204" s="8">
        <v>11.07</v>
      </c>
      <c r="G204" s="3">
        <v>472507</v>
      </c>
      <c r="H204" s="8">
        <v>10699.62</v>
      </c>
      <c r="I204" s="3">
        <v>966542280</v>
      </c>
      <c r="J204" s="3"/>
    </row>
    <row r="205" spans="1:10" ht="15" customHeight="1" x14ac:dyDescent="0.2">
      <c r="A205" t="s">
        <v>9</v>
      </c>
      <c r="B205" s="4">
        <v>45583</v>
      </c>
      <c r="C205" s="8">
        <v>11.1</v>
      </c>
      <c r="D205" s="8">
        <v>11.13</v>
      </c>
      <c r="E205" s="8">
        <v>11</v>
      </c>
      <c r="F205" s="8">
        <v>11.12</v>
      </c>
      <c r="G205" s="3">
        <v>965222</v>
      </c>
      <c r="H205" s="8">
        <v>10747.95</v>
      </c>
      <c r="I205" s="3">
        <v>966542280</v>
      </c>
      <c r="J205" s="3"/>
    </row>
    <row r="206" spans="1:10" ht="15" customHeight="1" x14ac:dyDescent="0.2">
      <c r="A206" t="s">
        <v>9</v>
      </c>
      <c r="B206" s="4">
        <v>45586</v>
      </c>
      <c r="C206" s="8">
        <v>11.12</v>
      </c>
      <c r="D206" s="8">
        <v>11.32</v>
      </c>
      <c r="E206" s="8">
        <v>11.03</v>
      </c>
      <c r="F206" s="8">
        <v>11.27</v>
      </c>
      <c r="G206" s="3">
        <v>255165</v>
      </c>
      <c r="H206" s="8">
        <v>10892.93</v>
      </c>
      <c r="I206" s="3">
        <v>966542280</v>
      </c>
      <c r="J206" s="3"/>
    </row>
    <row r="207" spans="1:10" ht="15" customHeight="1" x14ac:dyDescent="0.2">
      <c r="A207" t="s">
        <v>9</v>
      </c>
      <c r="B207" s="4">
        <v>45587</v>
      </c>
      <c r="C207" s="8">
        <v>11.14</v>
      </c>
      <c r="D207" s="8">
        <v>11.53</v>
      </c>
      <c r="E207" s="8">
        <v>11.1</v>
      </c>
      <c r="F207" s="8">
        <v>11.46</v>
      </c>
      <c r="G207" s="3">
        <v>335836</v>
      </c>
      <c r="H207" s="8">
        <v>11076.57</v>
      </c>
      <c r="I207" s="3">
        <v>966542280</v>
      </c>
      <c r="J207" s="3"/>
    </row>
    <row r="208" spans="1:10" ht="15" customHeight="1" x14ac:dyDescent="0.2">
      <c r="A208" t="s">
        <v>9</v>
      </c>
      <c r="B208" s="4">
        <v>45588</v>
      </c>
      <c r="C208" s="8">
        <v>11.43</v>
      </c>
      <c r="D208" s="8">
        <v>11.62</v>
      </c>
      <c r="E208" s="8">
        <v>11.35</v>
      </c>
      <c r="F208" s="8">
        <v>11.62</v>
      </c>
      <c r="G208" s="3">
        <v>434065</v>
      </c>
      <c r="H208" s="8">
        <v>11231.22</v>
      </c>
      <c r="I208" s="3">
        <v>966542280</v>
      </c>
      <c r="J208" s="3"/>
    </row>
    <row r="209" spans="1:10" ht="15" customHeight="1" x14ac:dyDescent="0.2">
      <c r="A209" t="s">
        <v>9</v>
      </c>
      <c r="B209" s="4">
        <v>45589</v>
      </c>
      <c r="C209" s="8">
        <v>11.62</v>
      </c>
      <c r="D209" s="8">
        <v>12.05</v>
      </c>
      <c r="E209" s="8">
        <v>11.54</v>
      </c>
      <c r="F209" s="8">
        <v>11.78</v>
      </c>
      <c r="G209" s="3">
        <v>611325</v>
      </c>
      <c r="H209" s="8">
        <v>11385.87</v>
      </c>
      <c r="I209" s="3">
        <v>966542280</v>
      </c>
      <c r="J209" s="3"/>
    </row>
    <row r="210" spans="1:10" ht="15" customHeight="1" x14ac:dyDescent="0.2">
      <c r="A210" t="s">
        <v>9</v>
      </c>
      <c r="B210" s="4">
        <v>45590</v>
      </c>
      <c r="C210" s="8">
        <v>11.86</v>
      </c>
      <c r="D210" s="8">
        <v>11.88</v>
      </c>
      <c r="E210" s="8">
        <v>11.65</v>
      </c>
      <c r="F210" s="8">
        <v>11.66</v>
      </c>
      <c r="G210" s="3">
        <v>270745</v>
      </c>
      <c r="H210" s="8">
        <v>11269.88</v>
      </c>
      <c r="I210" s="3">
        <v>966542280</v>
      </c>
      <c r="J210" s="3"/>
    </row>
    <row r="211" spans="1:10" ht="15" customHeight="1" x14ac:dyDescent="0.2">
      <c r="A211" t="s">
        <v>9</v>
      </c>
      <c r="B211" s="4">
        <v>45593</v>
      </c>
      <c r="C211" s="8">
        <v>11.68</v>
      </c>
      <c r="D211" s="8">
        <v>11.98</v>
      </c>
      <c r="E211" s="8">
        <v>11.67</v>
      </c>
      <c r="F211" s="8">
        <v>11.95</v>
      </c>
      <c r="G211" s="3">
        <v>519562</v>
      </c>
      <c r="H211" s="8">
        <v>11550.18</v>
      </c>
      <c r="I211" s="3">
        <v>966542280</v>
      </c>
      <c r="J211" s="3"/>
    </row>
    <row r="212" spans="1:10" ht="15" customHeight="1" x14ac:dyDescent="0.2">
      <c r="A212" t="s">
        <v>9</v>
      </c>
      <c r="B212" s="4">
        <v>45594</v>
      </c>
      <c r="C212" s="8">
        <v>12.04</v>
      </c>
      <c r="D212" s="8">
        <v>12.04</v>
      </c>
      <c r="E212" s="8">
        <v>11.85</v>
      </c>
      <c r="F212" s="8">
        <v>11.97</v>
      </c>
      <c r="G212" s="3">
        <v>378633</v>
      </c>
      <c r="H212" s="8">
        <v>11569.51</v>
      </c>
      <c r="I212" s="3">
        <v>966542280</v>
      </c>
      <c r="J212" s="3"/>
    </row>
    <row r="213" spans="1:10" ht="15" customHeight="1" x14ac:dyDescent="0.2">
      <c r="A213" t="s">
        <v>9</v>
      </c>
      <c r="B213" s="4">
        <v>45595</v>
      </c>
      <c r="C213" s="8">
        <v>12</v>
      </c>
      <c r="D213" s="8">
        <v>12</v>
      </c>
      <c r="E213" s="8">
        <v>11.67</v>
      </c>
      <c r="F213" s="8">
        <v>11.67</v>
      </c>
      <c r="G213" s="3">
        <v>378408</v>
      </c>
      <c r="H213" s="8">
        <v>11279.55</v>
      </c>
      <c r="I213" s="3">
        <v>966542280</v>
      </c>
      <c r="J213" s="3"/>
    </row>
    <row r="214" spans="1:10" ht="15" customHeight="1" x14ac:dyDescent="0.2">
      <c r="A214" t="s">
        <v>9</v>
      </c>
      <c r="B214" s="4">
        <v>45596</v>
      </c>
      <c r="C214" s="8">
        <v>11.7</v>
      </c>
      <c r="D214" s="8">
        <v>11.71</v>
      </c>
      <c r="E214" s="8">
        <v>11.45</v>
      </c>
      <c r="F214" s="8">
        <v>11.5</v>
      </c>
      <c r="G214" s="3">
        <v>331517</v>
      </c>
      <c r="H214" s="8">
        <v>11115.24</v>
      </c>
      <c r="I214" s="3">
        <v>966542280</v>
      </c>
      <c r="J214" s="3"/>
    </row>
    <row r="215" spans="1:10" ht="15" customHeight="1" x14ac:dyDescent="0.2">
      <c r="A215" t="s">
        <v>9</v>
      </c>
      <c r="B215" s="4">
        <v>45597</v>
      </c>
      <c r="C215" s="8">
        <v>11.44</v>
      </c>
      <c r="D215" s="8">
        <v>11.615</v>
      </c>
      <c r="E215" s="8">
        <v>11.41</v>
      </c>
      <c r="F215" s="8">
        <v>11.61</v>
      </c>
      <c r="G215" s="3">
        <v>340282</v>
      </c>
      <c r="H215" s="8">
        <v>11221.56</v>
      </c>
      <c r="I215" s="3">
        <v>966542280</v>
      </c>
      <c r="J215" s="3"/>
    </row>
    <row r="216" spans="1:10" ht="15" customHeight="1" x14ac:dyDescent="0.2">
      <c r="A216" t="s">
        <v>9</v>
      </c>
      <c r="B216" s="4">
        <v>45600</v>
      </c>
      <c r="C216" s="8">
        <v>11.61</v>
      </c>
      <c r="D216" s="8">
        <v>11.725</v>
      </c>
      <c r="E216" s="8">
        <v>11.41</v>
      </c>
      <c r="F216" s="8">
        <v>11.58</v>
      </c>
      <c r="G216" s="3">
        <v>270838</v>
      </c>
      <c r="H216" s="8">
        <v>11192.56</v>
      </c>
      <c r="I216" s="3">
        <v>966542280</v>
      </c>
      <c r="J216" s="3"/>
    </row>
    <row r="217" spans="1:10" ht="15" customHeight="1" x14ac:dyDescent="0.2">
      <c r="A217" t="s">
        <v>9</v>
      </c>
      <c r="B217" s="4">
        <v>45601</v>
      </c>
      <c r="C217" s="8">
        <v>11.55</v>
      </c>
      <c r="D217" s="8">
        <v>11.6</v>
      </c>
      <c r="E217" s="8">
        <v>11.45</v>
      </c>
      <c r="F217" s="8">
        <v>11.46</v>
      </c>
      <c r="G217" s="3">
        <v>202461</v>
      </c>
      <c r="H217" s="8">
        <v>11076.57</v>
      </c>
      <c r="I217" s="3">
        <v>966542280</v>
      </c>
      <c r="J217" s="3"/>
    </row>
    <row r="218" spans="1:10" ht="15" customHeight="1" x14ac:dyDescent="0.2">
      <c r="A218" t="s">
        <v>9</v>
      </c>
      <c r="B218" s="4">
        <v>45602</v>
      </c>
      <c r="C218" s="8">
        <v>11.7</v>
      </c>
      <c r="D218" s="8">
        <v>11.75</v>
      </c>
      <c r="E218" s="8">
        <v>11.55</v>
      </c>
      <c r="F218" s="8">
        <v>11.66</v>
      </c>
      <c r="G218" s="3">
        <v>385737</v>
      </c>
      <c r="H218" s="8">
        <v>11269.88</v>
      </c>
      <c r="I218" s="3">
        <v>966542280</v>
      </c>
      <c r="J218" s="3"/>
    </row>
    <row r="219" spans="1:10" ht="15" customHeight="1" x14ac:dyDescent="0.2">
      <c r="A219" t="s">
        <v>9</v>
      </c>
      <c r="B219" s="4">
        <v>45603</v>
      </c>
      <c r="C219" s="8">
        <v>11.69</v>
      </c>
      <c r="D219" s="8">
        <v>11.69</v>
      </c>
      <c r="E219" s="8">
        <v>11.345000000000001</v>
      </c>
      <c r="F219" s="8">
        <v>11.4</v>
      </c>
      <c r="G219" s="3">
        <v>406884</v>
      </c>
      <c r="H219" s="8">
        <v>11018.58</v>
      </c>
      <c r="I219" s="3">
        <v>966542280</v>
      </c>
      <c r="J219" s="3"/>
    </row>
    <row r="220" spans="1:10" ht="15" customHeight="1" x14ac:dyDescent="0.2">
      <c r="A220" t="s">
        <v>9</v>
      </c>
      <c r="B220" s="4">
        <v>45604</v>
      </c>
      <c r="C220" s="8">
        <v>11.67</v>
      </c>
      <c r="D220" s="8">
        <v>11.67</v>
      </c>
      <c r="E220" s="8">
        <v>11.3</v>
      </c>
      <c r="F220" s="8">
        <v>11.3</v>
      </c>
      <c r="G220" s="3">
        <v>412369</v>
      </c>
      <c r="H220" s="8">
        <v>10921.93</v>
      </c>
      <c r="I220" s="3">
        <v>966542280</v>
      </c>
      <c r="J220" s="3"/>
    </row>
    <row r="221" spans="1:10" ht="15" customHeight="1" x14ac:dyDescent="0.2">
      <c r="A221" t="s">
        <v>9</v>
      </c>
      <c r="B221" s="4">
        <v>45607</v>
      </c>
      <c r="C221" s="8">
        <v>11.22</v>
      </c>
      <c r="D221" s="8">
        <v>11.28</v>
      </c>
      <c r="E221" s="8">
        <v>11.03</v>
      </c>
      <c r="F221" s="8">
        <v>11.04</v>
      </c>
      <c r="G221" s="3">
        <v>301377</v>
      </c>
      <c r="H221" s="8">
        <v>10670.63</v>
      </c>
      <c r="I221" s="3">
        <v>966542280</v>
      </c>
      <c r="J221" s="3"/>
    </row>
    <row r="222" spans="1:10" ht="15" customHeight="1" x14ac:dyDescent="0.2">
      <c r="A222" t="s">
        <v>9</v>
      </c>
      <c r="B222" s="4">
        <v>45608</v>
      </c>
      <c r="C222" s="8">
        <v>11.24</v>
      </c>
      <c r="D222" s="8">
        <v>11.24</v>
      </c>
      <c r="E222" s="8">
        <v>10.975</v>
      </c>
      <c r="F222" s="8">
        <v>11.13</v>
      </c>
      <c r="G222" s="3">
        <v>217752</v>
      </c>
      <c r="H222" s="8">
        <v>10757.62</v>
      </c>
      <c r="I222" s="3">
        <v>966542280</v>
      </c>
      <c r="J222" s="3"/>
    </row>
    <row r="223" spans="1:10" ht="15" customHeight="1" x14ac:dyDescent="0.2">
      <c r="A223" t="s">
        <v>9</v>
      </c>
      <c r="B223" s="4">
        <v>45609</v>
      </c>
      <c r="C223" s="8">
        <v>11.12</v>
      </c>
      <c r="D223" s="8">
        <v>11.28</v>
      </c>
      <c r="E223" s="8">
        <v>10.99</v>
      </c>
      <c r="F223" s="8">
        <v>11.27</v>
      </c>
      <c r="G223" s="3">
        <v>547510</v>
      </c>
      <c r="H223" s="8">
        <v>10892.93</v>
      </c>
      <c r="I223" s="3">
        <v>966542280</v>
      </c>
      <c r="J223" s="3"/>
    </row>
    <row r="224" spans="1:10" ht="15" customHeight="1" x14ac:dyDescent="0.2">
      <c r="A224" t="s">
        <v>9</v>
      </c>
      <c r="B224" s="4">
        <v>45610</v>
      </c>
      <c r="C224" s="8">
        <v>11.01</v>
      </c>
      <c r="D224" s="8">
        <v>11.5</v>
      </c>
      <c r="E224" s="8">
        <v>11.01</v>
      </c>
      <c r="F224" s="8">
        <v>11.29</v>
      </c>
      <c r="G224" s="3">
        <v>404223</v>
      </c>
      <c r="H224" s="8">
        <v>10912.26</v>
      </c>
      <c r="I224" s="3">
        <v>966542280</v>
      </c>
      <c r="J224" s="3"/>
    </row>
    <row r="225" spans="1:10" ht="15" customHeight="1" x14ac:dyDescent="0.2">
      <c r="A225" t="s">
        <v>9</v>
      </c>
      <c r="B225" s="4">
        <v>45611</v>
      </c>
      <c r="C225" s="8">
        <v>11.41</v>
      </c>
      <c r="D225" s="8">
        <v>11.6</v>
      </c>
      <c r="E225" s="8">
        <v>11.38</v>
      </c>
      <c r="F225" s="8">
        <v>11.41</v>
      </c>
      <c r="G225" s="3">
        <v>469934</v>
      </c>
      <c r="H225" s="8">
        <v>11028.25</v>
      </c>
      <c r="I225" s="3">
        <v>966542280</v>
      </c>
      <c r="J225" s="3"/>
    </row>
    <row r="226" spans="1:10" ht="15" customHeight="1" x14ac:dyDescent="0.2">
      <c r="A226" t="s">
        <v>9</v>
      </c>
      <c r="B226" s="4">
        <v>45614</v>
      </c>
      <c r="C226" s="8">
        <v>11.41</v>
      </c>
      <c r="D226" s="8">
        <v>11.41</v>
      </c>
      <c r="E226" s="8">
        <v>11.18</v>
      </c>
      <c r="F226" s="8">
        <v>11.25</v>
      </c>
      <c r="G226" s="3">
        <v>269553</v>
      </c>
      <c r="H226" s="8">
        <v>10873.6</v>
      </c>
      <c r="I226" s="3">
        <v>966542280</v>
      </c>
      <c r="J226" s="3"/>
    </row>
    <row r="227" spans="1:10" ht="15" customHeight="1" x14ac:dyDescent="0.2">
      <c r="A227" t="s">
        <v>9</v>
      </c>
      <c r="B227" s="4">
        <v>45615</v>
      </c>
      <c r="C227" s="8">
        <v>11.38</v>
      </c>
      <c r="D227" s="8">
        <v>11.38</v>
      </c>
      <c r="E227" s="8">
        <v>11</v>
      </c>
      <c r="F227" s="8">
        <v>11.01</v>
      </c>
      <c r="G227" s="3">
        <v>345945</v>
      </c>
      <c r="H227" s="8">
        <v>10641.63</v>
      </c>
      <c r="I227" s="3">
        <v>966542280</v>
      </c>
      <c r="J227" s="3"/>
    </row>
    <row r="228" spans="1:10" ht="15" customHeight="1" x14ac:dyDescent="0.2">
      <c r="A228" t="s">
        <v>9</v>
      </c>
      <c r="B228" s="4">
        <v>45616</v>
      </c>
      <c r="C228" s="8">
        <v>11.05</v>
      </c>
      <c r="D228" s="8">
        <v>11.19</v>
      </c>
      <c r="E228" s="8">
        <v>10.81</v>
      </c>
      <c r="F228" s="8">
        <v>11.08</v>
      </c>
      <c r="G228" s="3">
        <v>282842</v>
      </c>
      <c r="H228" s="8">
        <v>10709.29</v>
      </c>
      <c r="I228" s="3">
        <v>966542280</v>
      </c>
      <c r="J228" s="3"/>
    </row>
    <row r="229" spans="1:10" ht="15" customHeight="1" x14ac:dyDescent="0.2">
      <c r="A229" t="s">
        <v>9</v>
      </c>
      <c r="B229" s="4">
        <v>45617</v>
      </c>
      <c r="C229" s="8">
        <v>11.2</v>
      </c>
      <c r="D229" s="8">
        <v>11.28</v>
      </c>
      <c r="E229" s="8">
        <v>11.13</v>
      </c>
      <c r="F229" s="8">
        <v>11.19</v>
      </c>
      <c r="G229" s="3">
        <v>135040</v>
      </c>
      <c r="H229" s="8">
        <v>10815.61</v>
      </c>
      <c r="I229" s="3">
        <v>966542280</v>
      </c>
      <c r="J229" s="3"/>
    </row>
    <row r="230" spans="1:10" ht="15" customHeight="1" x14ac:dyDescent="0.2">
      <c r="A230" t="s">
        <v>9</v>
      </c>
      <c r="B230" s="4">
        <v>45618</v>
      </c>
      <c r="C230" s="8">
        <v>11.42</v>
      </c>
      <c r="D230" s="8">
        <v>11.42</v>
      </c>
      <c r="E230" s="8">
        <v>11.02</v>
      </c>
      <c r="F230" s="8">
        <v>11.2</v>
      </c>
      <c r="G230" s="3">
        <v>263261</v>
      </c>
      <c r="H230" s="8">
        <v>10825.27</v>
      </c>
      <c r="I230" s="3">
        <v>966542280</v>
      </c>
      <c r="J230" s="3"/>
    </row>
    <row r="231" spans="1:10" ht="15" customHeight="1" x14ac:dyDescent="0.2">
      <c r="A231" t="s">
        <v>9</v>
      </c>
      <c r="B231" s="4">
        <v>45621</v>
      </c>
      <c r="C231" s="8">
        <v>11.23</v>
      </c>
      <c r="D231" s="8">
        <v>11.65</v>
      </c>
      <c r="E231" s="8">
        <v>11.2</v>
      </c>
      <c r="F231" s="8">
        <v>11.42</v>
      </c>
      <c r="G231" s="3">
        <v>984018</v>
      </c>
      <c r="H231" s="8">
        <v>11037.91</v>
      </c>
      <c r="I231" s="3">
        <v>966542280</v>
      </c>
      <c r="J231" s="3"/>
    </row>
    <row r="232" spans="1:10" ht="15" customHeight="1" x14ac:dyDescent="0.2">
      <c r="A232" t="s">
        <v>9</v>
      </c>
      <c r="B232" s="4">
        <v>45622</v>
      </c>
      <c r="C232" s="8">
        <v>11.4</v>
      </c>
      <c r="D232" s="8">
        <v>11.46</v>
      </c>
      <c r="E232" s="8">
        <v>11.2</v>
      </c>
      <c r="F232" s="8">
        <v>11.4</v>
      </c>
      <c r="G232" s="3">
        <v>319716</v>
      </c>
      <c r="H232" s="8">
        <v>11018.58</v>
      </c>
      <c r="I232" s="3">
        <v>966542280</v>
      </c>
      <c r="J232" s="3"/>
    </row>
    <row r="233" spans="1:10" ht="15" customHeight="1" x14ac:dyDescent="0.2">
      <c r="A233" t="s">
        <v>9</v>
      </c>
      <c r="B233" s="4">
        <v>45623</v>
      </c>
      <c r="C233" s="8">
        <v>11.67</v>
      </c>
      <c r="D233" s="8">
        <v>11.7</v>
      </c>
      <c r="E233" s="8">
        <v>11.27</v>
      </c>
      <c r="F233" s="8">
        <v>11.6</v>
      </c>
      <c r="G233" s="3">
        <v>764174</v>
      </c>
      <c r="H233" s="8">
        <v>11211.89</v>
      </c>
      <c r="I233" s="3">
        <v>966542280</v>
      </c>
      <c r="J233" s="3"/>
    </row>
    <row r="234" spans="1:10" ht="15" customHeight="1" x14ac:dyDescent="0.2">
      <c r="A234" t="s">
        <v>9</v>
      </c>
      <c r="B234" s="4">
        <v>45624</v>
      </c>
      <c r="C234" s="8">
        <v>11.57</v>
      </c>
      <c r="D234" s="8">
        <v>11.84</v>
      </c>
      <c r="E234" s="8">
        <v>11.57</v>
      </c>
      <c r="F234" s="8">
        <v>11.57</v>
      </c>
      <c r="G234" s="3">
        <v>330030</v>
      </c>
      <c r="H234" s="8">
        <v>11182.89</v>
      </c>
      <c r="I234" s="3">
        <v>966542280</v>
      </c>
      <c r="J234" s="3"/>
    </row>
    <row r="235" spans="1:10" ht="15" customHeight="1" x14ac:dyDescent="0.2">
      <c r="A235" t="s">
        <v>9</v>
      </c>
      <c r="B235" s="4">
        <v>45625</v>
      </c>
      <c r="C235" s="8">
        <v>11.57</v>
      </c>
      <c r="D235" s="8">
        <v>11.73</v>
      </c>
      <c r="E235" s="8">
        <v>11.52</v>
      </c>
      <c r="F235" s="8">
        <v>11.63</v>
      </c>
      <c r="G235" s="3">
        <v>1264081</v>
      </c>
      <c r="H235" s="8">
        <v>11240.89</v>
      </c>
      <c r="I235" s="3">
        <v>966542280</v>
      </c>
      <c r="J235" s="3"/>
    </row>
    <row r="236" spans="1:10" ht="15" customHeight="1" x14ac:dyDescent="0.2">
      <c r="A236" t="s">
        <v>9</v>
      </c>
      <c r="B236" s="4">
        <v>45628</v>
      </c>
      <c r="C236" s="8">
        <v>11.75</v>
      </c>
      <c r="D236" s="8">
        <v>11.75</v>
      </c>
      <c r="E236" s="8">
        <v>11.5</v>
      </c>
      <c r="F236" s="8">
        <v>11.61</v>
      </c>
      <c r="G236" s="3">
        <v>225896</v>
      </c>
      <c r="H236" s="8">
        <v>11221.56</v>
      </c>
      <c r="I236" s="3">
        <v>966542280</v>
      </c>
      <c r="J236" s="3"/>
    </row>
    <row r="237" spans="1:10" ht="15" customHeight="1" x14ac:dyDescent="0.2">
      <c r="A237" t="s">
        <v>9</v>
      </c>
      <c r="B237" s="4">
        <v>45629</v>
      </c>
      <c r="C237" s="8">
        <v>11.62</v>
      </c>
      <c r="D237" s="8">
        <v>11.64</v>
      </c>
      <c r="E237" s="8">
        <v>11.32</v>
      </c>
      <c r="F237" s="8">
        <v>11.34</v>
      </c>
      <c r="G237" s="3">
        <v>216873</v>
      </c>
      <c r="H237" s="8">
        <v>10960.59</v>
      </c>
      <c r="I237" s="3">
        <v>966542280</v>
      </c>
      <c r="J237" s="3"/>
    </row>
    <row r="238" spans="1:10" ht="15" customHeight="1" x14ac:dyDescent="0.2">
      <c r="A238" t="s">
        <v>9</v>
      </c>
      <c r="B238" s="4">
        <v>45630</v>
      </c>
      <c r="C238" s="8">
        <v>11.35</v>
      </c>
      <c r="D238" s="8">
        <v>11.36</v>
      </c>
      <c r="E238" s="8">
        <v>11.2</v>
      </c>
      <c r="F238" s="8">
        <v>11.36</v>
      </c>
      <c r="G238" s="3">
        <v>202147</v>
      </c>
      <c r="H238" s="8">
        <v>10979.92</v>
      </c>
      <c r="I238" s="3">
        <v>966542280</v>
      </c>
      <c r="J238" s="3"/>
    </row>
    <row r="239" spans="1:10" ht="15" customHeight="1" x14ac:dyDescent="0.2">
      <c r="A239" t="s">
        <v>9</v>
      </c>
      <c r="B239" s="4">
        <v>45631</v>
      </c>
      <c r="C239" s="8">
        <v>11.44</v>
      </c>
      <c r="D239" s="8">
        <v>11.63</v>
      </c>
      <c r="E239" s="8">
        <v>11.4</v>
      </c>
      <c r="F239" s="8">
        <v>11.58</v>
      </c>
      <c r="G239" s="3">
        <v>323852</v>
      </c>
      <c r="H239" s="8">
        <v>11192.56</v>
      </c>
      <c r="I239" s="3">
        <v>966542280</v>
      </c>
      <c r="J239" s="3"/>
    </row>
    <row r="240" spans="1:10" ht="15" customHeight="1" x14ac:dyDescent="0.2">
      <c r="A240" t="s">
        <v>9</v>
      </c>
      <c r="B240" s="4">
        <v>45632</v>
      </c>
      <c r="C240" s="8">
        <v>11.58</v>
      </c>
      <c r="D240" s="8">
        <v>11.58</v>
      </c>
      <c r="E240" s="8">
        <v>11.36</v>
      </c>
      <c r="F240" s="8">
        <v>11.36</v>
      </c>
      <c r="G240" s="3">
        <v>347718</v>
      </c>
      <c r="H240" s="8">
        <v>10979.92</v>
      </c>
      <c r="I240" s="3">
        <v>966542280</v>
      </c>
      <c r="J240" s="3"/>
    </row>
    <row r="241" spans="1:10" ht="15" customHeight="1" x14ac:dyDescent="0.2">
      <c r="A241" t="s">
        <v>9</v>
      </c>
      <c r="B241" s="4">
        <v>45635</v>
      </c>
      <c r="C241" s="8">
        <v>11.38</v>
      </c>
      <c r="D241" s="8">
        <v>11.6</v>
      </c>
      <c r="E241" s="8">
        <v>11.345000000000001</v>
      </c>
      <c r="F241" s="8">
        <v>11.44</v>
      </c>
      <c r="G241" s="3">
        <v>294638</v>
      </c>
      <c r="H241" s="8">
        <v>11057.24</v>
      </c>
      <c r="I241" s="3">
        <v>966542280</v>
      </c>
      <c r="J241" s="3"/>
    </row>
    <row r="242" spans="1:10" ht="15" customHeight="1" x14ac:dyDescent="0.2">
      <c r="A242" t="s">
        <v>9</v>
      </c>
      <c r="B242" s="4">
        <v>45636</v>
      </c>
      <c r="C242" s="8">
        <v>11.44</v>
      </c>
      <c r="D242" s="8">
        <v>11.44</v>
      </c>
      <c r="E242" s="8">
        <v>11.03</v>
      </c>
      <c r="F242" s="8">
        <v>11.09</v>
      </c>
      <c r="G242" s="3">
        <v>475579</v>
      </c>
      <c r="H242" s="8">
        <v>10736.08</v>
      </c>
      <c r="I242" s="3">
        <v>968086132</v>
      </c>
      <c r="J242" s="3"/>
    </row>
    <row r="243" spans="1:10" ht="15" customHeight="1" x14ac:dyDescent="0.2">
      <c r="A243" t="s">
        <v>9</v>
      </c>
      <c r="B243" s="4">
        <v>45637</v>
      </c>
      <c r="C243" s="8">
        <v>11.32</v>
      </c>
      <c r="D243" s="8">
        <v>11.32</v>
      </c>
      <c r="E243" s="8">
        <v>10.93</v>
      </c>
      <c r="F243" s="8">
        <v>10.93</v>
      </c>
      <c r="G243" s="3">
        <v>207232</v>
      </c>
      <c r="H243" s="8">
        <v>10581.18</v>
      </c>
      <c r="I243" s="3">
        <v>968086132</v>
      </c>
      <c r="J243" s="3"/>
    </row>
    <row r="244" spans="1:10" ht="15" customHeight="1" x14ac:dyDescent="0.2">
      <c r="A244" t="s">
        <v>9</v>
      </c>
      <c r="B244" s="4">
        <v>45638</v>
      </c>
      <c r="C244" s="8">
        <v>11.17</v>
      </c>
      <c r="D244" s="8">
        <v>11.17</v>
      </c>
      <c r="E244" s="8">
        <v>10.81</v>
      </c>
      <c r="F244" s="8">
        <v>10.87</v>
      </c>
      <c r="G244" s="3">
        <v>186386</v>
      </c>
      <c r="H244" s="8">
        <v>10523.1</v>
      </c>
      <c r="I244" s="3">
        <v>968086132</v>
      </c>
      <c r="J244" s="3"/>
    </row>
    <row r="245" spans="1:10" ht="15" customHeight="1" x14ac:dyDescent="0.2">
      <c r="A245" t="s">
        <v>9</v>
      </c>
      <c r="B245" s="4">
        <v>45639</v>
      </c>
      <c r="C245" s="8">
        <v>11.2</v>
      </c>
      <c r="D245" s="8">
        <v>11.2</v>
      </c>
      <c r="E245" s="8">
        <v>10.9</v>
      </c>
      <c r="F245" s="8">
        <v>10.97</v>
      </c>
      <c r="G245" s="3">
        <v>202032</v>
      </c>
      <c r="H245" s="8">
        <v>10619.9</v>
      </c>
      <c r="I245" s="3">
        <v>968086132</v>
      </c>
      <c r="J245" s="3"/>
    </row>
    <row r="246" spans="1:10" ht="15" customHeight="1" x14ac:dyDescent="0.2">
      <c r="A246" t="s">
        <v>9</v>
      </c>
      <c r="B246" s="4">
        <v>45642</v>
      </c>
      <c r="C246" s="8">
        <v>11.09</v>
      </c>
      <c r="D246" s="8">
        <v>11.29</v>
      </c>
      <c r="E246" s="8">
        <v>10.94</v>
      </c>
      <c r="F246" s="8">
        <v>10.98</v>
      </c>
      <c r="G246" s="3">
        <v>179425</v>
      </c>
      <c r="H246" s="8">
        <v>10629.59</v>
      </c>
      <c r="I246" s="3">
        <v>968086132</v>
      </c>
      <c r="J246" s="3"/>
    </row>
    <row r="247" spans="1:10" ht="15" customHeight="1" x14ac:dyDescent="0.2">
      <c r="A247" t="s">
        <v>9</v>
      </c>
      <c r="B247" s="4">
        <v>45643</v>
      </c>
      <c r="C247" s="8">
        <v>11.21</v>
      </c>
      <c r="D247" s="8">
        <v>11.35</v>
      </c>
      <c r="E247" s="8">
        <v>11.07</v>
      </c>
      <c r="F247" s="8">
        <v>11.3</v>
      </c>
      <c r="G247" s="3">
        <v>376102</v>
      </c>
      <c r="H247" s="8">
        <v>10939.37</v>
      </c>
      <c r="I247" s="3">
        <v>968086132</v>
      </c>
      <c r="J247" s="3"/>
    </row>
    <row r="248" spans="1:10" ht="15" customHeight="1" x14ac:dyDescent="0.2">
      <c r="A248" t="s">
        <v>9</v>
      </c>
      <c r="B248" s="4">
        <v>45644</v>
      </c>
      <c r="C248" s="8">
        <v>11.27</v>
      </c>
      <c r="D248" s="8">
        <v>11.33</v>
      </c>
      <c r="E248" s="8">
        <v>11.145</v>
      </c>
      <c r="F248" s="8">
        <v>11.26</v>
      </c>
      <c r="G248" s="3">
        <v>168305</v>
      </c>
      <c r="H248" s="8">
        <v>10900.65</v>
      </c>
      <c r="I248" s="3">
        <v>968086132</v>
      </c>
      <c r="J248" s="3"/>
    </row>
    <row r="249" spans="1:10" ht="15" customHeight="1" x14ac:dyDescent="0.2">
      <c r="A249" t="s">
        <v>9</v>
      </c>
      <c r="B249" s="4">
        <v>45645</v>
      </c>
      <c r="C249" s="8">
        <v>11.25</v>
      </c>
      <c r="D249" s="8">
        <v>11.25</v>
      </c>
      <c r="E249" s="8">
        <v>10.96</v>
      </c>
      <c r="F249" s="8">
        <v>10.96</v>
      </c>
      <c r="G249" s="3">
        <v>229964</v>
      </c>
      <c r="H249" s="8">
        <v>10610.22</v>
      </c>
      <c r="I249" s="3">
        <v>968086132</v>
      </c>
      <c r="J249" s="3"/>
    </row>
    <row r="250" spans="1:10" ht="15" customHeight="1" x14ac:dyDescent="0.2">
      <c r="A250" t="s">
        <v>9</v>
      </c>
      <c r="B250" s="4">
        <v>45646</v>
      </c>
      <c r="C250" s="8">
        <v>11.04</v>
      </c>
      <c r="D250" s="8">
        <v>11.44</v>
      </c>
      <c r="E250" s="8">
        <v>10.99</v>
      </c>
      <c r="F250" s="8">
        <v>11.35</v>
      </c>
      <c r="G250" s="3">
        <v>987194</v>
      </c>
      <c r="H250" s="8">
        <v>10987.78</v>
      </c>
      <c r="I250" s="3">
        <v>968086132</v>
      </c>
      <c r="J250" s="3"/>
    </row>
    <row r="251" spans="1:10" ht="15" customHeight="1" x14ac:dyDescent="0.2">
      <c r="A251" t="s">
        <v>9</v>
      </c>
      <c r="B251" s="4">
        <v>45649</v>
      </c>
      <c r="C251" s="8">
        <v>11.44</v>
      </c>
      <c r="D251" s="8">
        <v>11.5</v>
      </c>
      <c r="E251" s="8">
        <v>11.27</v>
      </c>
      <c r="F251" s="8">
        <v>11.39</v>
      </c>
      <c r="G251" s="3">
        <v>269142</v>
      </c>
      <c r="H251" s="8">
        <v>11026.5</v>
      </c>
      <c r="I251" s="3">
        <v>968086132</v>
      </c>
      <c r="J251" s="3"/>
    </row>
    <row r="252" spans="1:10" ht="15" customHeight="1" x14ac:dyDescent="0.2">
      <c r="A252" t="s">
        <v>9</v>
      </c>
      <c r="B252" s="4">
        <v>45650</v>
      </c>
      <c r="C252" s="8">
        <v>11.45</v>
      </c>
      <c r="D252" s="8">
        <v>11.56</v>
      </c>
      <c r="E252" s="8">
        <v>11.29</v>
      </c>
      <c r="F252" s="8">
        <v>11.56</v>
      </c>
      <c r="G252" s="3">
        <v>93282</v>
      </c>
      <c r="H252" s="8">
        <v>11191.08</v>
      </c>
      <c r="I252" s="3">
        <v>968086132</v>
      </c>
      <c r="J252" s="3"/>
    </row>
    <row r="253" spans="1:10" ht="15" customHeight="1" x14ac:dyDescent="0.2">
      <c r="A253" t="s">
        <v>9</v>
      </c>
      <c r="B253" s="4">
        <v>45653</v>
      </c>
      <c r="C253" s="8">
        <v>11.5</v>
      </c>
      <c r="D253" s="8">
        <v>11.57</v>
      </c>
      <c r="E253" s="8">
        <v>11.43</v>
      </c>
      <c r="F253" s="8">
        <v>11.55</v>
      </c>
      <c r="G253" s="3">
        <v>197122</v>
      </c>
      <c r="H253" s="8">
        <v>11181.39</v>
      </c>
      <c r="I253" s="3">
        <v>968086132</v>
      </c>
      <c r="J253" s="3"/>
    </row>
    <row r="254" spans="1:10" ht="15" customHeight="1" x14ac:dyDescent="0.2">
      <c r="A254" t="s">
        <v>9</v>
      </c>
      <c r="B254" s="4">
        <v>45656</v>
      </c>
      <c r="C254" s="8">
        <v>11.5</v>
      </c>
      <c r="D254" s="8">
        <v>11.58</v>
      </c>
      <c r="E254" s="8">
        <v>11.38</v>
      </c>
      <c r="F254" s="8">
        <v>11.57</v>
      </c>
      <c r="G254" s="3">
        <v>253683</v>
      </c>
      <c r="H254" s="8">
        <v>11200.76</v>
      </c>
      <c r="I254" s="3">
        <v>968086132</v>
      </c>
      <c r="J254" s="3"/>
    </row>
    <row r="255" spans="1:10" ht="15" customHeight="1" x14ac:dyDescent="0.2">
      <c r="A255" t="s">
        <v>9</v>
      </c>
      <c r="B255" s="4">
        <v>45657</v>
      </c>
      <c r="C255" s="8">
        <v>11.57</v>
      </c>
      <c r="D255" s="8">
        <v>11.57</v>
      </c>
      <c r="E255" s="8">
        <v>11.43</v>
      </c>
      <c r="F255" s="8">
        <v>11.57</v>
      </c>
      <c r="G255" s="3">
        <v>48376</v>
      </c>
      <c r="H255" s="8">
        <v>11200.76</v>
      </c>
      <c r="I255" s="3">
        <v>968086132</v>
      </c>
      <c r="J255" s="3"/>
    </row>
  </sheetData>
  <sortState xmlns:xlrd2="http://schemas.microsoft.com/office/spreadsheetml/2017/richdata2" ref="A2:I257">
    <sortCondition ref="B1:B25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C8F1-D88C-4731-B433-A2FCFD7799CF}">
  <dimension ref="A1:C255"/>
  <sheetViews>
    <sheetView zoomScaleNormal="100" workbookViewId="0">
      <selection activeCell="AC16" sqref="AC16"/>
    </sheetView>
  </sheetViews>
  <sheetFormatPr defaultColWidth="8.85546875" defaultRowHeight="12.75" x14ac:dyDescent="0.2"/>
  <cols>
    <col min="1" max="1" width="19" style="4" customWidth="1"/>
    <col min="2" max="2" width="19" style="9" customWidth="1"/>
    <col min="3" max="3" width="19" style="1" customWidth="1"/>
  </cols>
  <sheetData>
    <row r="1" spans="1:3" ht="15" x14ac:dyDescent="0.25">
      <c r="A1" s="5" t="s">
        <v>1</v>
      </c>
      <c r="B1" s="7" t="s">
        <v>5</v>
      </c>
      <c r="C1" s="2" t="s">
        <v>6</v>
      </c>
    </row>
    <row r="2" spans="1:3" x14ac:dyDescent="0.2">
      <c r="A2" s="4">
        <v>45293</v>
      </c>
      <c r="B2" s="8">
        <v>9.2799999999999994</v>
      </c>
      <c r="C2" s="3">
        <v>3743</v>
      </c>
    </row>
    <row r="3" spans="1:3" x14ac:dyDescent="0.2">
      <c r="A3" s="4">
        <v>45294</v>
      </c>
      <c r="B3" s="8">
        <v>9.3000000000000007</v>
      </c>
      <c r="C3" s="3">
        <v>65418</v>
      </c>
    </row>
    <row r="4" spans="1:3" x14ac:dyDescent="0.2">
      <c r="A4" s="4">
        <v>45295</v>
      </c>
      <c r="B4" s="8">
        <v>9.69</v>
      </c>
      <c r="C4" s="3">
        <v>38435</v>
      </c>
    </row>
    <row r="5" spans="1:3" x14ac:dyDescent="0.2">
      <c r="A5" s="4">
        <v>45296</v>
      </c>
      <c r="B5" s="8">
        <v>9.34</v>
      </c>
      <c r="C5" s="3">
        <v>60329</v>
      </c>
    </row>
    <row r="6" spans="1:3" x14ac:dyDescent="0.2">
      <c r="A6" s="4">
        <v>45299</v>
      </c>
      <c r="B6" s="8">
        <v>9.5299999999999994</v>
      </c>
      <c r="C6" s="3">
        <v>34215</v>
      </c>
    </row>
    <row r="7" spans="1:3" x14ac:dyDescent="0.2">
      <c r="A7" s="4">
        <v>45300</v>
      </c>
      <c r="B7" s="8">
        <v>9.51</v>
      </c>
      <c r="C7" s="3">
        <v>22803</v>
      </c>
    </row>
    <row r="8" spans="1:3" x14ac:dyDescent="0.2">
      <c r="A8" s="4">
        <v>45301</v>
      </c>
      <c r="B8" s="8">
        <v>9.4700000000000006</v>
      </c>
      <c r="C8" s="3">
        <v>25378</v>
      </c>
    </row>
    <row r="9" spans="1:3" x14ac:dyDescent="0.2">
      <c r="A9" s="4">
        <v>45302</v>
      </c>
      <c r="B9" s="8">
        <v>9.52</v>
      </c>
      <c r="C9" s="3">
        <v>24590</v>
      </c>
    </row>
    <row r="10" spans="1:3" x14ac:dyDescent="0.2">
      <c r="A10" s="4">
        <v>45303</v>
      </c>
      <c r="B10" s="8">
        <v>9.5500000000000007</v>
      </c>
      <c r="C10" s="3">
        <v>24201</v>
      </c>
    </row>
    <row r="11" spans="1:3" x14ac:dyDescent="0.2">
      <c r="A11" s="4">
        <v>45306</v>
      </c>
      <c r="B11" s="8">
        <v>9.4499999999999993</v>
      </c>
      <c r="C11" s="3">
        <v>41724</v>
      </c>
    </row>
    <row r="12" spans="1:3" x14ac:dyDescent="0.2">
      <c r="A12" s="4">
        <v>45307</v>
      </c>
      <c r="B12" s="8">
        <v>9.48</v>
      </c>
      <c r="C12" s="3">
        <v>18242</v>
      </c>
    </row>
    <row r="13" spans="1:3" x14ac:dyDescent="0.2">
      <c r="A13" s="4">
        <v>45308</v>
      </c>
      <c r="B13" s="8">
        <v>9.36</v>
      </c>
      <c r="C13" s="3">
        <v>20617</v>
      </c>
    </row>
    <row r="14" spans="1:3" x14ac:dyDescent="0.2">
      <c r="A14" s="4">
        <v>45309</v>
      </c>
      <c r="B14" s="8">
        <v>9.56</v>
      </c>
      <c r="C14" s="3">
        <v>35375</v>
      </c>
    </row>
    <row r="15" spans="1:3" x14ac:dyDescent="0.2">
      <c r="A15" s="4">
        <v>45310</v>
      </c>
      <c r="B15" s="8">
        <v>9.4</v>
      </c>
      <c r="C15" s="3">
        <v>36371</v>
      </c>
    </row>
    <row r="16" spans="1:3" x14ac:dyDescent="0.2">
      <c r="A16" s="4">
        <v>45313</v>
      </c>
      <c r="B16" s="8">
        <v>9.5299999999999994</v>
      </c>
      <c r="C16" s="3">
        <v>15601</v>
      </c>
    </row>
    <row r="17" spans="1:3" x14ac:dyDescent="0.2">
      <c r="A17" s="4">
        <v>45314</v>
      </c>
      <c r="B17" s="8">
        <v>9.65</v>
      </c>
      <c r="C17" s="3">
        <v>47914</v>
      </c>
    </row>
    <row r="18" spans="1:3" x14ac:dyDescent="0.2">
      <c r="A18" s="4">
        <v>45315</v>
      </c>
      <c r="B18" s="8">
        <v>9.6</v>
      </c>
      <c r="C18" s="3">
        <v>14188</v>
      </c>
    </row>
    <row r="19" spans="1:3" x14ac:dyDescent="0.2">
      <c r="A19" s="4">
        <v>45316</v>
      </c>
      <c r="B19" s="8">
        <v>9.64</v>
      </c>
      <c r="C19" s="3">
        <v>28577</v>
      </c>
    </row>
    <row r="20" spans="1:3" x14ac:dyDescent="0.2">
      <c r="A20" s="4">
        <v>45320</v>
      </c>
      <c r="B20" s="8">
        <v>10.09</v>
      </c>
      <c r="C20" s="3">
        <v>101838</v>
      </c>
    </row>
    <row r="21" spans="1:3" x14ac:dyDescent="0.2">
      <c r="A21" s="4">
        <v>45321</v>
      </c>
      <c r="B21" s="8">
        <v>9.9700000000000006</v>
      </c>
      <c r="C21" s="3">
        <v>60971</v>
      </c>
    </row>
    <row r="22" spans="1:3" x14ac:dyDescent="0.2">
      <c r="A22" s="4">
        <v>45322</v>
      </c>
      <c r="B22" s="8">
        <v>9.8800000000000008</v>
      </c>
      <c r="C22" s="3">
        <v>194006</v>
      </c>
    </row>
    <row r="23" spans="1:3" x14ac:dyDescent="0.2">
      <c r="A23" s="4">
        <v>45323</v>
      </c>
      <c r="B23" s="8">
        <v>9.9499999999999993</v>
      </c>
      <c r="C23" s="3">
        <v>30892</v>
      </c>
    </row>
    <row r="24" spans="1:3" x14ac:dyDescent="0.2">
      <c r="A24" s="4">
        <v>45324</v>
      </c>
      <c r="B24" s="8">
        <v>9.8699999999999992</v>
      </c>
      <c r="C24" s="3">
        <v>69261</v>
      </c>
    </row>
    <row r="25" spans="1:3" x14ac:dyDescent="0.2">
      <c r="A25" s="4">
        <v>45327</v>
      </c>
      <c r="B25" s="8">
        <v>9.92</v>
      </c>
      <c r="C25" s="3">
        <v>34036</v>
      </c>
    </row>
    <row r="26" spans="1:3" x14ac:dyDescent="0.2">
      <c r="A26" s="4">
        <v>45328</v>
      </c>
      <c r="B26" s="8">
        <v>9.92</v>
      </c>
      <c r="C26" s="3">
        <v>25472</v>
      </c>
    </row>
    <row r="27" spans="1:3" x14ac:dyDescent="0.2">
      <c r="A27" s="4">
        <v>45329</v>
      </c>
      <c r="B27" s="8">
        <v>9.93</v>
      </c>
      <c r="C27" s="3">
        <v>45618</v>
      </c>
    </row>
    <row r="28" spans="1:3" x14ac:dyDescent="0.2">
      <c r="A28" s="4">
        <v>45330</v>
      </c>
      <c r="B28" s="8">
        <v>9.81</v>
      </c>
      <c r="C28" s="3">
        <v>21405</v>
      </c>
    </row>
    <row r="29" spans="1:3" x14ac:dyDescent="0.2">
      <c r="A29" s="4">
        <v>45331</v>
      </c>
      <c r="B29" s="8">
        <v>10.11</v>
      </c>
      <c r="C29" s="3">
        <v>54642</v>
      </c>
    </row>
    <row r="30" spans="1:3" x14ac:dyDescent="0.2">
      <c r="A30" s="4">
        <v>45334</v>
      </c>
      <c r="B30" s="8">
        <v>9.8699999999999992</v>
      </c>
      <c r="C30" s="3">
        <v>49898</v>
      </c>
    </row>
    <row r="31" spans="1:3" x14ac:dyDescent="0.2">
      <c r="A31" s="4">
        <v>45335</v>
      </c>
      <c r="B31" s="8">
        <v>9.7799999999999994</v>
      </c>
      <c r="C31" s="3">
        <v>15402</v>
      </c>
    </row>
    <row r="32" spans="1:3" x14ac:dyDescent="0.2">
      <c r="A32" s="4">
        <v>45336</v>
      </c>
      <c r="B32" s="8">
        <v>9.6300000000000008</v>
      </c>
      <c r="C32" s="3">
        <v>46973</v>
      </c>
    </row>
    <row r="33" spans="1:3" x14ac:dyDescent="0.2">
      <c r="A33" s="4">
        <v>45337</v>
      </c>
      <c r="B33" s="8">
        <v>9.6300000000000008</v>
      </c>
      <c r="C33" s="3">
        <v>32112</v>
      </c>
    </row>
    <row r="34" spans="1:3" x14ac:dyDescent="0.2">
      <c r="A34" s="4">
        <v>45338</v>
      </c>
      <c r="B34" s="8">
        <v>9.8000000000000007</v>
      </c>
      <c r="C34" s="3">
        <v>52540</v>
      </c>
    </row>
    <row r="35" spans="1:3" x14ac:dyDescent="0.2">
      <c r="A35" s="4">
        <v>45341</v>
      </c>
      <c r="B35" s="8">
        <v>9.5500000000000007</v>
      </c>
      <c r="C35" s="3">
        <v>24759</v>
      </c>
    </row>
    <row r="36" spans="1:3" x14ac:dyDescent="0.2">
      <c r="A36" s="4">
        <v>45342</v>
      </c>
      <c r="B36" s="8">
        <v>9.7200000000000006</v>
      </c>
      <c r="C36" s="3">
        <v>9394</v>
      </c>
    </row>
    <row r="37" spans="1:3" x14ac:dyDescent="0.2">
      <c r="A37" s="4">
        <v>45343</v>
      </c>
      <c r="B37" s="8">
        <v>9.5</v>
      </c>
      <c r="C37" s="3">
        <v>40170</v>
      </c>
    </row>
    <row r="38" spans="1:3" x14ac:dyDescent="0.2">
      <c r="A38" s="4">
        <v>45344</v>
      </c>
      <c r="B38" s="8">
        <v>9.86</v>
      </c>
      <c r="C38" s="3">
        <v>2505371</v>
      </c>
    </row>
    <row r="39" spans="1:3" x14ac:dyDescent="0.2">
      <c r="A39" s="4">
        <v>45345</v>
      </c>
      <c r="B39" s="8">
        <v>9.67</v>
      </c>
      <c r="C39" s="3">
        <v>46783</v>
      </c>
    </row>
    <row r="40" spans="1:3" x14ac:dyDescent="0.2">
      <c r="A40" s="4">
        <v>45348</v>
      </c>
      <c r="B40" s="8">
        <v>9.6300000000000008</v>
      </c>
      <c r="C40" s="3">
        <v>84354</v>
      </c>
    </row>
    <row r="41" spans="1:3" x14ac:dyDescent="0.2">
      <c r="A41" s="4">
        <v>45349</v>
      </c>
      <c r="B41" s="8">
        <v>9.52</v>
      </c>
      <c r="C41" s="3">
        <v>45999</v>
      </c>
    </row>
    <row r="42" spans="1:3" x14ac:dyDescent="0.2">
      <c r="A42" s="4">
        <v>45350</v>
      </c>
      <c r="B42" s="8">
        <v>9.66</v>
      </c>
      <c r="C42" s="3">
        <v>45026</v>
      </c>
    </row>
    <row r="43" spans="1:3" x14ac:dyDescent="0.2">
      <c r="A43" s="4">
        <v>45351</v>
      </c>
      <c r="B43" s="8">
        <v>9.7200000000000006</v>
      </c>
      <c r="C43" s="3">
        <v>145803</v>
      </c>
    </row>
    <row r="44" spans="1:3" x14ac:dyDescent="0.2">
      <c r="A44" s="4">
        <v>45352</v>
      </c>
      <c r="B44" s="8">
        <v>9.6199999999999992</v>
      </c>
      <c r="C44" s="3">
        <v>53538</v>
      </c>
    </row>
    <row r="45" spans="1:3" x14ac:dyDescent="0.2">
      <c r="A45" s="4">
        <v>45355</v>
      </c>
      <c r="B45" s="8">
        <v>9.7100000000000009</v>
      </c>
      <c r="C45" s="3">
        <v>54766</v>
      </c>
    </row>
    <row r="46" spans="1:3" x14ac:dyDescent="0.2">
      <c r="A46" s="4">
        <v>45356</v>
      </c>
      <c r="B46" s="8">
        <v>9.58</v>
      </c>
      <c r="C46" s="3">
        <v>66185</v>
      </c>
    </row>
    <row r="47" spans="1:3" x14ac:dyDescent="0.2">
      <c r="A47" s="4">
        <v>45357</v>
      </c>
      <c r="B47" s="8">
        <v>9.9</v>
      </c>
      <c r="C47" s="3">
        <v>23147</v>
      </c>
    </row>
    <row r="48" spans="1:3" x14ac:dyDescent="0.2">
      <c r="A48" s="4">
        <v>45358</v>
      </c>
      <c r="B48" s="8">
        <v>9.81</v>
      </c>
      <c r="C48" s="3">
        <v>32083</v>
      </c>
    </row>
    <row r="49" spans="1:3" x14ac:dyDescent="0.2">
      <c r="A49" s="4">
        <v>45359</v>
      </c>
      <c r="B49" s="8">
        <v>9.92</v>
      </c>
      <c r="C49" s="3">
        <v>16604</v>
      </c>
    </row>
    <row r="50" spans="1:3" x14ac:dyDescent="0.2">
      <c r="A50" s="4">
        <v>45362</v>
      </c>
      <c r="B50" s="8">
        <v>9.9600000000000009</v>
      </c>
      <c r="C50" s="3">
        <v>51921</v>
      </c>
    </row>
    <row r="51" spans="1:3" x14ac:dyDescent="0.2">
      <c r="A51" s="4">
        <v>45363</v>
      </c>
      <c r="B51" s="8">
        <v>9.75</v>
      </c>
      <c r="C51" s="3">
        <v>36408</v>
      </c>
    </row>
    <row r="52" spans="1:3" x14ac:dyDescent="0.2">
      <c r="A52" s="4">
        <v>45364</v>
      </c>
      <c r="B52" s="8">
        <v>9.9700000000000006</v>
      </c>
      <c r="C52" s="3">
        <v>42911</v>
      </c>
    </row>
    <row r="53" spans="1:3" x14ac:dyDescent="0.2">
      <c r="A53" s="4">
        <v>45365</v>
      </c>
      <c r="B53" s="8">
        <v>9.9600000000000009</v>
      </c>
      <c r="C53" s="3">
        <v>58536</v>
      </c>
    </row>
    <row r="54" spans="1:3" x14ac:dyDescent="0.2">
      <c r="A54" s="4">
        <v>45366</v>
      </c>
      <c r="B54" s="8">
        <v>9.7100000000000009</v>
      </c>
      <c r="C54" s="3">
        <v>31890</v>
      </c>
    </row>
    <row r="55" spans="1:3" x14ac:dyDescent="0.2">
      <c r="A55" s="4">
        <v>45369</v>
      </c>
      <c r="B55" s="8">
        <v>9.81</v>
      </c>
      <c r="C55" s="3">
        <v>41038</v>
      </c>
    </row>
    <row r="56" spans="1:3" x14ac:dyDescent="0.2">
      <c r="A56" s="4">
        <v>45370</v>
      </c>
      <c r="B56" s="8">
        <v>9.75</v>
      </c>
      <c r="C56" s="3">
        <v>36966</v>
      </c>
    </row>
    <row r="57" spans="1:3" x14ac:dyDescent="0.2">
      <c r="A57" s="4">
        <v>45371</v>
      </c>
      <c r="B57" s="8">
        <v>9.8800000000000008</v>
      </c>
      <c r="C57" s="3">
        <v>101025</v>
      </c>
    </row>
    <row r="58" spans="1:3" x14ac:dyDescent="0.2">
      <c r="A58" s="4">
        <v>45372</v>
      </c>
      <c r="B58" s="8">
        <v>9.77</v>
      </c>
      <c r="C58" s="3">
        <v>35082</v>
      </c>
    </row>
    <row r="59" spans="1:3" x14ac:dyDescent="0.2">
      <c r="A59" s="4">
        <v>45373</v>
      </c>
      <c r="B59" s="8">
        <v>9.84</v>
      </c>
      <c r="C59" s="3">
        <v>9873</v>
      </c>
    </row>
    <row r="60" spans="1:3" x14ac:dyDescent="0.2">
      <c r="A60" s="4">
        <v>45376</v>
      </c>
      <c r="B60" s="8">
        <v>9.85</v>
      </c>
      <c r="C60" s="3">
        <v>64076</v>
      </c>
    </row>
    <row r="61" spans="1:3" x14ac:dyDescent="0.2">
      <c r="A61" s="4">
        <v>45377</v>
      </c>
      <c r="B61" s="8">
        <v>10.01</v>
      </c>
      <c r="C61" s="3">
        <v>57110</v>
      </c>
    </row>
    <row r="62" spans="1:3" x14ac:dyDescent="0.2">
      <c r="A62" s="4">
        <v>45378</v>
      </c>
      <c r="B62" s="8">
        <v>9.8699999999999992</v>
      </c>
      <c r="C62" s="3">
        <v>48362</v>
      </c>
    </row>
    <row r="63" spans="1:3" x14ac:dyDescent="0.2">
      <c r="A63" s="4">
        <v>45379</v>
      </c>
      <c r="B63" s="8">
        <v>9.92</v>
      </c>
      <c r="C63" s="3">
        <v>66872</v>
      </c>
    </row>
    <row r="64" spans="1:3" x14ac:dyDescent="0.2">
      <c r="A64" s="4">
        <v>45384</v>
      </c>
      <c r="B64" s="8">
        <v>9.9700000000000006</v>
      </c>
      <c r="C64" s="3">
        <v>38022</v>
      </c>
    </row>
    <row r="65" spans="1:3" x14ac:dyDescent="0.2">
      <c r="A65" s="4">
        <v>45385</v>
      </c>
      <c r="B65" s="8">
        <v>9.9700000000000006</v>
      </c>
      <c r="C65" s="3">
        <v>29984</v>
      </c>
    </row>
    <row r="66" spans="1:3" x14ac:dyDescent="0.2">
      <c r="A66" s="4">
        <v>45386</v>
      </c>
      <c r="B66" s="8">
        <v>10.039999999999999</v>
      </c>
      <c r="C66" s="3">
        <v>17132</v>
      </c>
    </row>
    <row r="67" spans="1:3" x14ac:dyDescent="0.2">
      <c r="A67" s="4">
        <v>45387</v>
      </c>
      <c r="B67" s="8">
        <v>9.98</v>
      </c>
      <c r="C67" s="3">
        <v>43617</v>
      </c>
    </row>
    <row r="68" spans="1:3" x14ac:dyDescent="0.2">
      <c r="A68" s="4">
        <v>45390</v>
      </c>
      <c r="B68" s="8">
        <v>10.050000000000001</v>
      </c>
      <c r="C68" s="3">
        <v>31869</v>
      </c>
    </row>
    <row r="69" spans="1:3" x14ac:dyDescent="0.2">
      <c r="A69" s="4">
        <v>45391</v>
      </c>
      <c r="B69" s="8">
        <v>9.9700000000000006</v>
      </c>
      <c r="C69" s="3">
        <v>18913</v>
      </c>
    </row>
    <row r="70" spans="1:3" x14ac:dyDescent="0.2">
      <c r="A70" s="4">
        <v>45392</v>
      </c>
      <c r="B70" s="8">
        <v>10.050000000000001</v>
      </c>
      <c r="C70" s="3">
        <v>21246</v>
      </c>
    </row>
    <row r="71" spans="1:3" x14ac:dyDescent="0.2">
      <c r="A71" s="4">
        <v>45393</v>
      </c>
      <c r="B71" s="8">
        <v>10.199999999999999</v>
      </c>
      <c r="C71" s="3">
        <v>29439</v>
      </c>
    </row>
    <row r="72" spans="1:3" x14ac:dyDescent="0.2">
      <c r="A72" s="4">
        <v>45394</v>
      </c>
      <c r="B72" s="8">
        <v>10.130000000000001</v>
      </c>
      <c r="C72" s="3">
        <v>13839</v>
      </c>
    </row>
    <row r="73" spans="1:3" x14ac:dyDescent="0.2">
      <c r="A73" s="4">
        <v>45397</v>
      </c>
      <c r="B73" s="8">
        <v>9.98</v>
      </c>
      <c r="C73" s="3">
        <v>20340</v>
      </c>
    </row>
    <row r="74" spans="1:3" x14ac:dyDescent="0.2">
      <c r="A74" s="4">
        <v>45398</v>
      </c>
      <c r="B74" s="8">
        <v>10</v>
      </c>
      <c r="C74" s="3">
        <v>9558</v>
      </c>
    </row>
    <row r="75" spans="1:3" x14ac:dyDescent="0.2">
      <c r="A75" s="4">
        <v>45399</v>
      </c>
      <c r="B75" s="8">
        <v>10.16</v>
      </c>
      <c r="C75" s="3">
        <v>56277</v>
      </c>
    </row>
    <row r="76" spans="1:3" x14ac:dyDescent="0.2">
      <c r="A76" s="4">
        <v>45400</v>
      </c>
      <c r="B76" s="8">
        <v>9.92</v>
      </c>
      <c r="C76" s="3">
        <v>78266</v>
      </c>
    </row>
    <row r="77" spans="1:3" x14ac:dyDescent="0.2">
      <c r="A77" s="4">
        <v>45401</v>
      </c>
      <c r="B77" s="8">
        <v>9.99</v>
      </c>
      <c r="C77" s="3">
        <v>19678</v>
      </c>
    </row>
    <row r="78" spans="1:3" x14ac:dyDescent="0.2">
      <c r="A78" s="4">
        <v>45404</v>
      </c>
      <c r="B78" s="8">
        <v>9.9499999999999993</v>
      </c>
      <c r="C78" s="3">
        <v>24350</v>
      </c>
    </row>
    <row r="79" spans="1:3" x14ac:dyDescent="0.2">
      <c r="A79" s="4">
        <v>45405</v>
      </c>
      <c r="B79" s="8">
        <v>9.93</v>
      </c>
      <c r="C79" s="3">
        <v>17604</v>
      </c>
    </row>
    <row r="80" spans="1:3" x14ac:dyDescent="0.2">
      <c r="A80" s="4">
        <v>45406</v>
      </c>
      <c r="B80" s="8">
        <v>10.029999999999999</v>
      </c>
      <c r="C80" s="3">
        <v>30023</v>
      </c>
    </row>
    <row r="81" spans="1:3" x14ac:dyDescent="0.2">
      <c r="A81" s="4">
        <v>45408</v>
      </c>
      <c r="B81" s="8">
        <v>9.92</v>
      </c>
      <c r="C81" s="3">
        <v>66225</v>
      </c>
    </row>
    <row r="82" spans="1:3" x14ac:dyDescent="0.2">
      <c r="A82" s="4">
        <v>45411</v>
      </c>
      <c r="B82" s="8">
        <v>9.9499999999999993</v>
      </c>
      <c r="C82" s="3">
        <v>44893</v>
      </c>
    </row>
    <row r="83" spans="1:3" x14ac:dyDescent="0.2">
      <c r="A83" s="4">
        <v>45412</v>
      </c>
      <c r="B83" s="8">
        <v>10</v>
      </c>
      <c r="C83" s="3">
        <v>97344</v>
      </c>
    </row>
    <row r="84" spans="1:3" x14ac:dyDescent="0.2">
      <c r="A84" s="4">
        <v>45413</v>
      </c>
      <c r="B84" s="8">
        <v>9.9700000000000006</v>
      </c>
      <c r="C84" s="3">
        <v>31794</v>
      </c>
    </row>
    <row r="85" spans="1:3" x14ac:dyDescent="0.2">
      <c r="A85" s="4">
        <v>45414</v>
      </c>
      <c r="B85" s="8">
        <v>10.02</v>
      </c>
      <c r="C85" s="3">
        <v>61380</v>
      </c>
    </row>
    <row r="86" spans="1:3" x14ac:dyDescent="0.2">
      <c r="A86" s="4">
        <v>45415</v>
      </c>
      <c r="B86" s="8">
        <v>9.9499999999999993</v>
      </c>
      <c r="C86" s="3">
        <v>26668</v>
      </c>
    </row>
    <row r="87" spans="1:3" x14ac:dyDescent="0.2">
      <c r="A87" s="4">
        <v>45418</v>
      </c>
      <c r="B87" s="8">
        <v>9.68</v>
      </c>
      <c r="C87" s="3">
        <v>66155</v>
      </c>
    </row>
    <row r="88" spans="1:3" x14ac:dyDescent="0.2">
      <c r="A88" s="4">
        <v>45419</v>
      </c>
      <c r="B88" s="8">
        <v>9.73</v>
      </c>
      <c r="C88" s="3">
        <v>62353</v>
      </c>
    </row>
    <row r="89" spans="1:3" x14ac:dyDescent="0.2">
      <c r="A89" s="4">
        <v>45420</v>
      </c>
      <c r="B89" s="8">
        <v>9.89</v>
      </c>
      <c r="C89" s="3">
        <v>48677</v>
      </c>
    </row>
    <row r="90" spans="1:3" x14ac:dyDescent="0.2">
      <c r="A90" s="4">
        <v>45421</v>
      </c>
      <c r="B90" s="8">
        <v>9.7799999999999994</v>
      </c>
      <c r="C90" s="3">
        <v>48095</v>
      </c>
    </row>
    <row r="91" spans="1:3" x14ac:dyDescent="0.2">
      <c r="A91" s="4">
        <v>45422</v>
      </c>
      <c r="B91" s="8">
        <v>9.7100000000000009</v>
      </c>
      <c r="C91" s="3">
        <v>31781</v>
      </c>
    </row>
    <row r="92" spans="1:3" x14ac:dyDescent="0.2">
      <c r="A92" s="4">
        <v>45425</v>
      </c>
      <c r="B92" s="8">
        <v>9.6300000000000008</v>
      </c>
      <c r="C92" s="3">
        <v>62401</v>
      </c>
    </row>
    <row r="93" spans="1:3" x14ac:dyDescent="0.2">
      <c r="A93" s="4">
        <v>45426</v>
      </c>
      <c r="B93" s="8">
        <v>9.48</v>
      </c>
      <c r="C93" s="3">
        <v>81189</v>
      </c>
    </row>
    <row r="94" spans="1:3" x14ac:dyDescent="0.2">
      <c r="A94" s="4">
        <v>45427</v>
      </c>
      <c r="B94" s="8">
        <v>9.5500000000000007</v>
      </c>
      <c r="C94" s="3">
        <v>62479</v>
      </c>
    </row>
    <row r="95" spans="1:3" x14ac:dyDescent="0.2">
      <c r="A95" s="4">
        <v>45428</v>
      </c>
      <c r="B95" s="8">
        <v>9.84</v>
      </c>
      <c r="C95" s="3">
        <v>85278</v>
      </c>
    </row>
    <row r="96" spans="1:3" x14ac:dyDescent="0.2">
      <c r="A96" s="4">
        <v>45429</v>
      </c>
      <c r="B96" s="8">
        <v>9.94</v>
      </c>
      <c r="C96" s="3">
        <v>43407</v>
      </c>
    </row>
    <row r="97" spans="1:3" x14ac:dyDescent="0.2">
      <c r="A97" s="4">
        <v>45432</v>
      </c>
      <c r="B97" s="8">
        <v>10.35</v>
      </c>
      <c r="C97" s="3">
        <v>85317</v>
      </c>
    </row>
    <row r="98" spans="1:3" x14ac:dyDescent="0.2">
      <c r="A98" s="4">
        <v>45433</v>
      </c>
      <c r="B98" s="8">
        <v>9.75</v>
      </c>
      <c r="C98" s="3">
        <v>150949</v>
      </c>
    </row>
    <row r="99" spans="1:3" x14ac:dyDescent="0.2">
      <c r="A99" s="4">
        <v>45434</v>
      </c>
      <c r="B99" s="8">
        <v>9.8800000000000008</v>
      </c>
      <c r="C99" s="3">
        <v>74006</v>
      </c>
    </row>
    <row r="100" spans="1:3" x14ac:dyDescent="0.2">
      <c r="A100" s="4">
        <v>45435</v>
      </c>
      <c r="B100" s="8">
        <v>10.1</v>
      </c>
      <c r="C100" s="3">
        <v>105323</v>
      </c>
    </row>
    <row r="101" spans="1:3" x14ac:dyDescent="0.2">
      <c r="A101" s="4">
        <v>45436</v>
      </c>
      <c r="B101" s="8">
        <v>10.050000000000001</v>
      </c>
      <c r="C101" s="3">
        <v>64366</v>
      </c>
    </row>
    <row r="102" spans="1:3" x14ac:dyDescent="0.2">
      <c r="A102" s="4">
        <v>45439</v>
      </c>
      <c r="B102" s="8">
        <v>10.06</v>
      </c>
      <c r="C102" s="3">
        <v>37431</v>
      </c>
    </row>
    <row r="103" spans="1:3" x14ac:dyDescent="0.2">
      <c r="A103" s="4">
        <v>45440</v>
      </c>
      <c r="B103" s="8">
        <v>10.08</v>
      </c>
      <c r="C103" s="3">
        <v>101426</v>
      </c>
    </row>
    <row r="104" spans="1:3" x14ac:dyDescent="0.2">
      <c r="A104" s="4">
        <v>45441</v>
      </c>
      <c r="B104" s="8">
        <v>9.9499999999999993</v>
      </c>
      <c r="C104" s="3">
        <v>90321</v>
      </c>
    </row>
    <row r="105" spans="1:3" x14ac:dyDescent="0.2">
      <c r="A105" s="4">
        <v>45442</v>
      </c>
      <c r="B105" s="8">
        <v>9.7799999999999994</v>
      </c>
      <c r="C105" s="3">
        <v>99305</v>
      </c>
    </row>
    <row r="106" spans="1:3" x14ac:dyDescent="0.2">
      <c r="A106" s="4">
        <v>45443</v>
      </c>
      <c r="B106" s="8">
        <v>9.85</v>
      </c>
      <c r="C106" s="3">
        <v>136938</v>
      </c>
    </row>
    <row r="107" spans="1:3" x14ac:dyDescent="0.2">
      <c r="A107" s="4">
        <v>45446</v>
      </c>
      <c r="B107" s="8">
        <v>9.9600000000000009</v>
      </c>
      <c r="C107" s="3">
        <v>59800</v>
      </c>
    </row>
    <row r="108" spans="1:3" x14ac:dyDescent="0.2">
      <c r="A108" s="4">
        <v>45447</v>
      </c>
      <c r="B108" s="8">
        <v>10.1</v>
      </c>
      <c r="C108" s="3">
        <v>62933</v>
      </c>
    </row>
    <row r="109" spans="1:3" x14ac:dyDescent="0.2">
      <c r="A109" s="4">
        <v>45448</v>
      </c>
      <c r="B109" s="8">
        <v>10.31</v>
      </c>
      <c r="C109" s="3">
        <v>97965</v>
      </c>
    </row>
    <row r="110" spans="1:3" x14ac:dyDescent="0.2">
      <c r="A110" s="4">
        <v>45449</v>
      </c>
      <c r="B110" s="8">
        <v>10.61</v>
      </c>
      <c r="C110" s="3">
        <v>143479</v>
      </c>
    </row>
    <row r="111" spans="1:3" x14ac:dyDescent="0.2">
      <c r="A111" s="4">
        <v>45450</v>
      </c>
      <c r="B111" s="8">
        <v>10.35</v>
      </c>
      <c r="C111" s="3">
        <v>166614</v>
      </c>
    </row>
    <row r="112" spans="1:3" x14ac:dyDescent="0.2">
      <c r="A112" s="4">
        <v>45454</v>
      </c>
      <c r="B112" s="8">
        <v>10</v>
      </c>
      <c r="C112" s="3">
        <v>116857</v>
      </c>
    </row>
    <row r="113" spans="1:3" x14ac:dyDescent="0.2">
      <c r="A113" s="4">
        <v>45455</v>
      </c>
      <c r="B113" s="8">
        <v>9.92</v>
      </c>
      <c r="C113" s="3">
        <v>132524</v>
      </c>
    </row>
    <row r="114" spans="1:3" x14ac:dyDescent="0.2">
      <c r="A114" s="4">
        <v>45456</v>
      </c>
      <c r="B114" s="8">
        <v>9.8800000000000008</v>
      </c>
      <c r="C114" s="3">
        <v>120492</v>
      </c>
    </row>
    <row r="115" spans="1:3" x14ac:dyDescent="0.2">
      <c r="A115" s="4">
        <v>45457</v>
      </c>
      <c r="B115" s="8">
        <v>10.06</v>
      </c>
      <c r="C115" s="3">
        <v>135398</v>
      </c>
    </row>
    <row r="116" spans="1:3" x14ac:dyDescent="0.2">
      <c r="A116" s="4">
        <v>45460</v>
      </c>
      <c r="B116" s="8">
        <v>10.06</v>
      </c>
      <c r="C116" s="3">
        <v>0</v>
      </c>
    </row>
    <row r="117" spans="1:3" x14ac:dyDescent="0.2">
      <c r="A117" s="4">
        <v>45461</v>
      </c>
      <c r="B117" s="8">
        <v>10.55</v>
      </c>
      <c r="C117" s="3">
        <v>360473</v>
      </c>
    </row>
    <row r="118" spans="1:3" x14ac:dyDescent="0.2">
      <c r="A118" s="4">
        <v>45462</v>
      </c>
      <c r="B118" s="8">
        <v>10.25</v>
      </c>
      <c r="C118" s="3">
        <v>395445</v>
      </c>
    </row>
    <row r="119" spans="1:3" x14ac:dyDescent="0.2">
      <c r="A119" s="4">
        <v>45463</v>
      </c>
      <c r="B119" s="8">
        <v>10.26</v>
      </c>
      <c r="C119" s="3">
        <v>234016</v>
      </c>
    </row>
    <row r="120" spans="1:3" x14ac:dyDescent="0.2">
      <c r="A120" s="4">
        <v>45464</v>
      </c>
      <c r="B120" s="8">
        <v>10.029999999999999</v>
      </c>
      <c r="C120" s="3">
        <v>337657</v>
      </c>
    </row>
    <row r="121" spans="1:3" x14ac:dyDescent="0.2">
      <c r="A121" s="4">
        <v>45467</v>
      </c>
      <c r="B121" s="8">
        <v>10.07</v>
      </c>
      <c r="C121" s="3">
        <v>632860</v>
      </c>
    </row>
    <row r="122" spans="1:3" x14ac:dyDescent="0.2">
      <c r="A122" s="4">
        <v>45468</v>
      </c>
      <c r="B122" s="8">
        <v>10.11</v>
      </c>
      <c r="C122" s="3">
        <v>177978</v>
      </c>
    </row>
    <row r="123" spans="1:3" x14ac:dyDescent="0.2">
      <c r="A123" s="4">
        <v>45469</v>
      </c>
      <c r="B123" s="8">
        <v>10.220000000000001</v>
      </c>
      <c r="C123" s="3">
        <v>1088055</v>
      </c>
    </row>
    <row r="124" spans="1:3" x14ac:dyDescent="0.2">
      <c r="A124" s="4">
        <v>45470</v>
      </c>
      <c r="B124" s="8">
        <v>10.18</v>
      </c>
      <c r="C124" s="3">
        <v>177680</v>
      </c>
    </row>
    <row r="125" spans="1:3" x14ac:dyDescent="0.2">
      <c r="A125" s="4">
        <v>45471</v>
      </c>
      <c r="B125" s="8">
        <v>10.34</v>
      </c>
      <c r="C125" s="3">
        <v>1159470</v>
      </c>
    </row>
    <row r="126" spans="1:3" x14ac:dyDescent="0.2">
      <c r="A126" s="4">
        <v>45474</v>
      </c>
      <c r="B126" s="8">
        <v>10.18</v>
      </c>
      <c r="C126" s="3">
        <v>386220</v>
      </c>
    </row>
    <row r="127" spans="1:3" x14ac:dyDescent="0.2">
      <c r="A127" s="4">
        <v>45475</v>
      </c>
      <c r="B127" s="8">
        <v>10.19</v>
      </c>
      <c r="C127" s="3">
        <v>277796</v>
      </c>
    </row>
    <row r="128" spans="1:3" x14ac:dyDescent="0.2">
      <c r="A128" s="4">
        <v>45476</v>
      </c>
      <c r="B128" s="8">
        <v>10.210000000000001</v>
      </c>
      <c r="C128" s="3">
        <v>195695</v>
      </c>
    </row>
    <row r="129" spans="1:3" x14ac:dyDescent="0.2">
      <c r="A129" s="4">
        <v>45477</v>
      </c>
      <c r="B129" s="8">
        <v>10.1</v>
      </c>
      <c r="C129" s="3">
        <v>265623</v>
      </c>
    </row>
    <row r="130" spans="1:3" x14ac:dyDescent="0.2">
      <c r="A130" s="4">
        <v>45478</v>
      </c>
      <c r="B130" s="8">
        <v>10.11</v>
      </c>
      <c r="C130" s="3">
        <v>237272</v>
      </c>
    </row>
    <row r="131" spans="1:3" x14ac:dyDescent="0.2">
      <c r="A131" s="4">
        <v>45481</v>
      </c>
      <c r="B131" s="8">
        <v>10.32</v>
      </c>
      <c r="C131" s="3">
        <v>610252</v>
      </c>
    </row>
    <row r="132" spans="1:3" x14ac:dyDescent="0.2">
      <c r="A132" s="4">
        <v>45482</v>
      </c>
      <c r="B132" s="8">
        <v>10.130000000000001</v>
      </c>
      <c r="C132" s="3">
        <v>103003</v>
      </c>
    </row>
    <row r="133" spans="1:3" x14ac:dyDescent="0.2">
      <c r="A133" s="4">
        <v>45483</v>
      </c>
      <c r="B133" s="8">
        <v>10.06</v>
      </c>
      <c r="C133" s="3">
        <v>166776</v>
      </c>
    </row>
    <row r="134" spans="1:3" x14ac:dyDescent="0.2">
      <c r="A134" s="4">
        <v>45484</v>
      </c>
      <c r="B134" s="8">
        <v>10.08</v>
      </c>
      <c r="C134" s="3">
        <v>71967</v>
      </c>
    </row>
    <row r="135" spans="1:3" x14ac:dyDescent="0.2">
      <c r="A135" s="4">
        <v>45485</v>
      </c>
      <c r="B135" s="8">
        <v>9.8800000000000008</v>
      </c>
      <c r="C135" s="3">
        <v>140184</v>
      </c>
    </row>
    <row r="136" spans="1:3" x14ac:dyDescent="0.2">
      <c r="A136" s="4">
        <v>45488</v>
      </c>
      <c r="B136" s="8">
        <v>9.69</v>
      </c>
      <c r="C136" s="3">
        <v>178435</v>
      </c>
    </row>
    <row r="137" spans="1:3" x14ac:dyDescent="0.2">
      <c r="A137" s="4">
        <v>45489</v>
      </c>
      <c r="B137" s="8">
        <v>9.56</v>
      </c>
      <c r="C137" s="3">
        <v>194888</v>
      </c>
    </row>
    <row r="138" spans="1:3" x14ac:dyDescent="0.2">
      <c r="A138" s="4">
        <v>45490</v>
      </c>
      <c r="B138" s="8">
        <v>9.73</v>
      </c>
      <c r="C138" s="3">
        <v>230823</v>
      </c>
    </row>
    <row r="139" spans="1:3" x14ac:dyDescent="0.2">
      <c r="A139" s="4">
        <v>45491</v>
      </c>
      <c r="B139" s="8">
        <v>9.86</v>
      </c>
      <c r="C139" s="3">
        <v>99559</v>
      </c>
    </row>
    <row r="140" spans="1:3" x14ac:dyDescent="0.2">
      <c r="A140" s="4">
        <v>45492</v>
      </c>
      <c r="B140" s="8">
        <v>9.74</v>
      </c>
      <c r="C140" s="3">
        <v>76429</v>
      </c>
    </row>
    <row r="141" spans="1:3" x14ac:dyDescent="0.2">
      <c r="A141" s="4">
        <v>45495</v>
      </c>
      <c r="B141" s="8">
        <v>9.6999999999999993</v>
      </c>
      <c r="C141" s="3">
        <v>297985</v>
      </c>
    </row>
    <row r="142" spans="1:3" x14ac:dyDescent="0.2">
      <c r="A142" s="4">
        <v>45496</v>
      </c>
      <c r="B142" s="8">
        <v>9.81</v>
      </c>
      <c r="C142" s="3">
        <v>368404</v>
      </c>
    </row>
    <row r="143" spans="1:3" x14ac:dyDescent="0.2">
      <c r="A143" s="4">
        <v>45497</v>
      </c>
      <c r="B143" s="8">
        <v>10</v>
      </c>
      <c r="C143" s="3">
        <v>123555</v>
      </c>
    </row>
    <row r="144" spans="1:3" x14ac:dyDescent="0.2">
      <c r="A144" s="4">
        <v>45498</v>
      </c>
      <c r="B144" s="8">
        <v>9.85</v>
      </c>
      <c r="C144" s="3">
        <v>153133</v>
      </c>
    </row>
    <row r="145" spans="1:3" x14ac:dyDescent="0.2">
      <c r="A145" s="4">
        <v>45499</v>
      </c>
      <c r="B145" s="8">
        <v>9.7200000000000006</v>
      </c>
      <c r="C145" s="3">
        <v>160796</v>
      </c>
    </row>
    <row r="146" spans="1:3" x14ac:dyDescent="0.2">
      <c r="A146" s="4">
        <v>45502</v>
      </c>
      <c r="B146" s="8">
        <v>9.76</v>
      </c>
      <c r="C146" s="3">
        <v>109028</v>
      </c>
    </row>
    <row r="147" spans="1:3" x14ac:dyDescent="0.2">
      <c r="A147" s="4">
        <v>45503</v>
      </c>
      <c r="B147" s="8">
        <v>9.76</v>
      </c>
      <c r="C147" s="3">
        <v>129240</v>
      </c>
    </row>
    <row r="148" spans="1:3" x14ac:dyDescent="0.2">
      <c r="A148" s="4">
        <v>45504</v>
      </c>
      <c r="B148" s="8">
        <v>9.82</v>
      </c>
      <c r="C148" s="3">
        <v>390401</v>
      </c>
    </row>
    <row r="149" spans="1:3" x14ac:dyDescent="0.2">
      <c r="A149" s="4">
        <v>45505</v>
      </c>
      <c r="B149" s="8">
        <v>9.85</v>
      </c>
      <c r="C149" s="3">
        <v>325900</v>
      </c>
    </row>
    <row r="150" spans="1:3" x14ac:dyDescent="0.2">
      <c r="A150" s="4">
        <v>45506</v>
      </c>
      <c r="B150" s="8">
        <v>9.9</v>
      </c>
      <c r="C150" s="3">
        <v>204085</v>
      </c>
    </row>
    <row r="151" spans="1:3" x14ac:dyDescent="0.2">
      <c r="A151" s="4">
        <v>45509</v>
      </c>
      <c r="B151" s="8">
        <v>9.5399999999999991</v>
      </c>
      <c r="C151" s="3">
        <v>310256</v>
      </c>
    </row>
    <row r="152" spans="1:3" x14ac:dyDescent="0.2">
      <c r="A152" s="4">
        <v>45510</v>
      </c>
      <c r="B152" s="8">
        <v>9.5500000000000007</v>
      </c>
      <c r="C152" s="3">
        <v>181272</v>
      </c>
    </row>
    <row r="153" spans="1:3" x14ac:dyDescent="0.2">
      <c r="A153" s="4">
        <v>45511</v>
      </c>
      <c r="B153" s="8">
        <v>9.7200000000000006</v>
      </c>
      <c r="C153" s="3">
        <v>171401</v>
      </c>
    </row>
    <row r="154" spans="1:3" x14ac:dyDescent="0.2">
      <c r="A154" s="4">
        <v>45512</v>
      </c>
      <c r="B154" s="8">
        <v>9.7200000000000006</v>
      </c>
      <c r="C154" s="3">
        <v>305827</v>
      </c>
    </row>
    <row r="155" spans="1:3" x14ac:dyDescent="0.2">
      <c r="A155" s="4">
        <v>45513</v>
      </c>
      <c r="B155" s="8">
        <v>9.77</v>
      </c>
      <c r="C155" s="3">
        <v>145983</v>
      </c>
    </row>
    <row r="156" spans="1:3" x14ac:dyDescent="0.2">
      <c r="A156" s="4">
        <v>45516</v>
      </c>
      <c r="B156" s="8">
        <v>9.65</v>
      </c>
      <c r="C156" s="3">
        <v>193359</v>
      </c>
    </row>
    <row r="157" spans="1:3" x14ac:dyDescent="0.2">
      <c r="A157" s="4">
        <v>45517</v>
      </c>
      <c r="B157" s="8">
        <v>9.68</v>
      </c>
      <c r="C157" s="3">
        <v>159721</v>
      </c>
    </row>
    <row r="158" spans="1:3" x14ac:dyDescent="0.2">
      <c r="A158" s="4">
        <v>45518</v>
      </c>
      <c r="B158" s="8">
        <v>9.59</v>
      </c>
      <c r="C158" s="3">
        <v>1056118</v>
      </c>
    </row>
    <row r="159" spans="1:3" x14ac:dyDescent="0.2">
      <c r="A159" s="4">
        <v>45519</v>
      </c>
      <c r="B159" s="8">
        <v>9.81</v>
      </c>
      <c r="C159" s="3">
        <v>243765</v>
      </c>
    </row>
    <row r="160" spans="1:3" x14ac:dyDescent="0.2">
      <c r="A160" s="4">
        <v>45520</v>
      </c>
      <c r="B160" s="8">
        <v>9.92</v>
      </c>
      <c r="C160" s="3">
        <v>135187</v>
      </c>
    </row>
    <row r="161" spans="1:3" x14ac:dyDescent="0.2">
      <c r="A161" s="4">
        <v>45523</v>
      </c>
      <c r="B161" s="8">
        <v>10</v>
      </c>
      <c r="C161" s="3">
        <v>172682</v>
      </c>
    </row>
    <row r="162" spans="1:3" x14ac:dyDescent="0.2">
      <c r="A162" s="4">
        <v>45524</v>
      </c>
      <c r="B162" s="8">
        <v>10.02</v>
      </c>
      <c r="C162" s="3">
        <v>412601</v>
      </c>
    </row>
    <row r="163" spans="1:3" x14ac:dyDescent="0.2">
      <c r="A163" s="4">
        <v>45525</v>
      </c>
      <c r="B163" s="8">
        <v>10.07</v>
      </c>
      <c r="C163" s="3">
        <v>264291</v>
      </c>
    </row>
    <row r="164" spans="1:3" x14ac:dyDescent="0.2">
      <c r="A164" s="4">
        <v>45526</v>
      </c>
      <c r="B164" s="8">
        <v>9.9600000000000009</v>
      </c>
      <c r="C164" s="3">
        <v>154241</v>
      </c>
    </row>
    <row r="165" spans="1:3" x14ac:dyDescent="0.2">
      <c r="A165" s="4">
        <v>45527</v>
      </c>
      <c r="B165" s="8">
        <v>10.14</v>
      </c>
      <c r="C165" s="3">
        <v>108309</v>
      </c>
    </row>
    <row r="166" spans="1:3" x14ac:dyDescent="0.2">
      <c r="A166" s="4">
        <v>45530</v>
      </c>
      <c r="B166" s="8">
        <v>10.029999999999999</v>
      </c>
      <c r="C166" s="3">
        <v>258178</v>
      </c>
    </row>
    <row r="167" spans="1:3" x14ac:dyDescent="0.2">
      <c r="A167" s="4">
        <v>45531</v>
      </c>
      <c r="B167" s="8">
        <v>10.02</v>
      </c>
      <c r="C167" s="3">
        <v>154325</v>
      </c>
    </row>
    <row r="168" spans="1:3" x14ac:dyDescent="0.2">
      <c r="A168" s="4">
        <v>45532</v>
      </c>
      <c r="B168" s="8">
        <v>10.07</v>
      </c>
      <c r="C168" s="3">
        <v>307225</v>
      </c>
    </row>
    <row r="169" spans="1:3" x14ac:dyDescent="0.2">
      <c r="A169" s="4">
        <v>45533</v>
      </c>
      <c r="B169" s="8">
        <v>10.01</v>
      </c>
      <c r="C169" s="3">
        <v>166830</v>
      </c>
    </row>
    <row r="170" spans="1:3" x14ac:dyDescent="0.2">
      <c r="A170" s="4">
        <v>45534</v>
      </c>
      <c r="B170" s="8">
        <v>10.14</v>
      </c>
      <c r="C170" s="3">
        <v>233876</v>
      </c>
    </row>
    <row r="171" spans="1:3" x14ac:dyDescent="0.2">
      <c r="A171" s="4">
        <v>45537</v>
      </c>
      <c r="B171" s="8">
        <v>10.28</v>
      </c>
      <c r="C171" s="3">
        <v>258296</v>
      </c>
    </row>
    <row r="172" spans="1:3" x14ac:dyDescent="0.2">
      <c r="A172" s="4">
        <v>45538</v>
      </c>
      <c r="B172" s="8">
        <v>10.27</v>
      </c>
      <c r="C172" s="3">
        <v>161045</v>
      </c>
    </row>
    <row r="173" spans="1:3" x14ac:dyDescent="0.2">
      <c r="A173" s="4">
        <v>45539</v>
      </c>
      <c r="B173" s="8">
        <v>10.5</v>
      </c>
      <c r="C173" s="3">
        <v>223911</v>
      </c>
    </row>
    <row r="174" spans="1:3" x14ac:dyDescent="0.2">
      <c r="A174" s="4">
        <v>45540</v>
      </c>
      <c r="B174" s="8">
        <v>10.9</v>
      </c>
      <c r="C174" s="3">
        <v>275408</v>
      </c>
    </row>
    <row r="175" spans="1:3" x14ac:dyDescent="0.2">
      <c r="A175" s="4">
        <v>45541</v>
      </c>
      <c r="B175" s="8">
        <v>11.08</v>
      </c>
      <c r="C175" s="3">
        <v>289556</v>
      </c>
    </row>
    <row r="176" spans="1:3" x14ac:dyDescent="0.2">
      <c r="A176" s="4">
        <v>45544</v>
      </c>
      <c r="B176" s="8">
        <v>11.1</v>
      </c>
      <c r="C176" s="3">
        <v>735400</v>
      </c>
    </row>
    <row r="177" spans="1:3" x14ac:dyDescent="0.2">
      <c r="A177" s="4">
        <v>45545</v>
      </c>
      <c r="B177" s="8">
        <v>11.08</v>
      </c>
      <c r="C177" s="3">
        <v>480874</v>
      </c>
    </row>
    <row r="178" spans="1:3" x14ac:dyDescent="0.2">
      <c r="A178" s="4">
        <v>45546</v>
      </c>
      <c r="B178" s="8">
        <v>11.26</v>
      </c>
      <c r="C178" s="3">
        <v>441325</v>
      </c>
    </row>
    <row r="179" spans="1:3" x14ac:dyDescent="0.2">
      <c r="A179" s="4">
        <v>45547</v>
      </c>
      <c r="B179" s="8">
        <v>11.4</v>
      </c>
      <c r="C179" s="3">
        <v>500210</v>
      </c>
    </row>
    <row r="180" spans="1:3" x14ac:dyDescent="0.2">
      <c r="A180" s="4">
        <v>45548</v>
      </c>
      <c r="B180" s="8">
        <v>11.26</v>
      </c>
      <c r="C180" s="3">
        <v>329123</v>
      </c>
    </row>
    <row r="181" spans="1:3" x14ac:dyDescent="0.2">
      <c r="A181" s="4">
        <v>45551</v>
      </c>
      <c r="B181" s="8">
        <v>11.11</v>
      </c>
      <c r="C181" s="3">
        <v>491700</v>
      </c>
    </row>
    <row r="182" spans="1:3" x14ac:dyDescent="0.2">
      <c r="A182" s="4">
        <v>45552</v>
      </c>
      <c r="B182" s="8">
        <v>11.24</v>
      </c>
      <c r="C182" s="3">
        <v>710725</v>
      </c>
    </row>
    <row r="183" spans="1:3" x14ac:dyDescent="0.2">
      <c r="A183" s="4">
        <v>45553</v>
      </c>
      <c r="B183" s="8">
        <v>11.15</v>
      </c>
      <c r="C183" s="3">
        <v>347197</v>
      </c>
    </row>
    <row r="184" spans="1:3" x14ac:dyDescent="0.2">
      <c r="A184" s="4">
        <v>45554</v>
      </c>
      <c r="B184" s="8">
        <v>11.39</v>
      </c>
      <c r="C184" s="3">
        <v>497334</v>
      </c>
    </row>
    <row r="185" spans="1:3" x14ac:dyDescent="0.2">
      <c r="A185" s="4">
        <v>45555</v>
      </c>
      <c r="B185" s="8">
        <v>11.27</v>
      </c>
      <c r="C185" s="3">
        <v>4139537</v>
      </c>
    </row>
    <row r="186" spans="1:3" x14ac:dyDescent="0.2">
      <c r="A186" s="4">
        <v>45558</v>
      </c>
      <c r="B186" s="8">
        <v>11.33</v>
      </c>
      <c r="C186" s="3">
        <v>346993</v>
      </c>
    </row>
    <row r="187" spans="1:3" x14ac:dyDescent="0.2">
      <c r="A187" s="4">
        <v>45559</v>
      </c>
      <c r="B187" s="8">
        <v>11.17</v>
      </c>
      <c r="C187" s="3">
        <v>245916</v>
      </c>
    </row>
    <row r="188" spans="1:3" x14ac:dyDescent="0.2">
      <c r="A188" s="4">
        <v>45560</v>
      </c>
      <c r="B188" s="8">
        <v>11.14</v>
      </c>
      <c r="C188" s="3">
        <v>270959</v>
      </c>
    </row>
    <row r="189" spans="1:3" x14ac:dyDescent="0.2">
      <c r="A189" s="4">
        <v>45561</v>
      </c>
      <c r="B189" s="8">
        <v>11.31</v>
      </c>
      <c r="C189" s="3">
        <v>226392</v>
      </c>
    </row>
    <row r="190" spans="1:3" x14ac:dyDescent="0.2">
      <c r="A190" s="4">
        <v>45562</v>
      </c>
      <c r="B190" s="8">
        <v>11.42</v>
      </c>
      <c r="C190" s="3">
        <v>344254</v>
      </c>
    </row>
    <row r="191" spans="1:3" x14ac:dyDescent="0.2">
      <c r="A191" s="4">
        <v>45565</v>
      </c>
      <c r="B191" s="8">
        <v>11.41</v>
      </c>
      <c r="C191" s="3">
        <v>479634</v>
      </c>
    </row>
    <row r="192" spans="1:3" x14ac:dyDescent="0.2">
      <c r="A192" s="4">
        <v>45566</v>
      </c>
      <c r="B192" s="8">
        <v>11.17</v>
      </c>
      <c r="C192" s="3">
        <v>377444</v>
      </c>
    </row>
    <row r="193" spans="1:3" x14ac:dyDescent="0.2">
      <c r="A193" s="4">
        <v>45567</v>
      </c>
      <c r="B193" s="8">
        <v>11.18</v>
      </c>
      <c r="C193" s="3">
        <v>219339</v>
      </c>
    </row>
    <row r="194" spans="1:3" x14ac:dyDescent="0.2">
      <c r="A194" s="4">
        <v>45568</v>
      </c>
      <c r="B194" s="8">
        <v>11.08</v>
      </c>
      <c r="C194" s="3">
        <v>267411</v>
      </c>
    </row>
    <row r="195" spans="1:3" x14ac:dyDescent="0.2">
      <c r="A195" s="4">
        <v>45569</v>
      </c>
      <c r="B195" s="8">
        <v>11.08</v>
      </c>
      <c r="C195" s="3">
        <v>301984</v>
      </c>
    </row>
    <row r="196" spans="1:3" x14ac:dyDescent="0.2">
      <c r="A196" s="4">
        <v>45572</v>
      </c>
      <c r="B196" s="8">
        <v>11.16</v>
      </c>
      <c r="C196" s="3">
        <v>159359</v>
      </c>
    </row>
    <row r="197" spans="1:3" x14ac:dyDescent="0.2">
      <c r="A197" s="4">
        <v>45573</v>
      </c>
      <c r="B197" s="8">
        <v>11.04</v>
      </c>
      <c r="C197" s="3">
        <v>255818</v>
      </c>
    </row>
    <row r="198" spans="1:3" x14ac:dyDescent="0.2">
      <c r="A198" s="4">
        <v>45574</v>
      </c>
      <c r="B198" s="8">
        <v>11.17</v>
      </c>
      <c r="C198" s="3">
        <v>293823</v>
      </c>
    </row>
    <row r="199" spans="1:3" x14ac:dyDescent="0.2">
      <c r="A199" s="4">
        <v>45575</v>
      </c>
      <c r="B199" s="8">
        <v>10.9</v>
      </c>
      <c r="C199" s="3">
        <v>383539</v>
      </c>
    </row>
    <row r="200" spans="1:3" x14ac:dyDescent="0.2">
      <c r="A200" s="4">
        <v>45576</v>
      </c>
      <c r="B200" s="8">
        <v>11.16</v>
      </c>
      <c r="C200" s="3">
        <v>226820</v>
      </c>
    </row>
    <row r="201" spans="1:3" x14ac:dyDescent="0.2">
      <c r="A201" s="4">
        <v>45579</v>
      </c>
      <c r="B201" s="8">
        <v>11.06</v>
      </c>
      <c r="C201" s="3">
        <v>127087</v>
      </c>
    </row>
    <row r="202" spans="1:3" x14ac:dyDescent="0.2">
      <c r="A202" s="4">
        <v>45580</v>
      </c>
      <c r="B202" s="8">
        <v>11.12</v>
      </c>
      <c r="C202" s="3">
        <v>375162</v>
      </c>
    </row>
    <row r="203" spans="1:3" x14ac:dyDescent="0.2">
      <c r="A203" s="4">
        <v>45581</v>
      </c>
      <c r="B203" s="8">
        <v>10.89</v>
      </c>
      <c r="C203" s="3">
        <v>351476</v>
      </c>
    </row>
    <row r="204" spans="1:3" x14ac:dyDescent="0.2">
      <c r="A204" s="4">
        <v>45582</v>
      </c>
      <c r="B204" s="8">
        <v>11.07</v>
      </c>
      <c r="C204" s="3">
        <v>472507</v>
      </c>
    </row>
    <row r="205" spans="1:3" x14ac:dyDescent="0.2">
      <c r="A205" s="4">
        <v>45583</v>
      </c>
      <c r="B205" s="8">
        <v>11.12</v>
      </c>
      <c r="C205" s="3">
        <v>965222</v>
      </c>
    </row>
    <row r="206" spans="1:3" x14ac:dyDescent="0.2">
      <c r="A206" s="4">
        <v>45586</v>
      </c>
      <c r="B206" s="8">
        <v>11.27</v>
      </c>
      <c r="C206" s="3">
        <v>255165</v>
      </c>
    </row>
    <row r="207" spans="1:3" x14ac:dyDescent="0.2">
      <c r="A207" s="4">
        <v>45587</v>
      </c>
      <c r="B207" s="8">
        <v>11.46</v>
      </c>
      <c r="C207" s="3">
        <v>335836</v>
      </c>
    </row>
    <row r="208" spans="1:3" x14ac:dyDescent="0.2">
      <c r="A208" s="4">
        <v>45588</v>
      </c>
      <c r="B208" s="8">
        <v>11.62</v>
      </c>
      <c r="C208" s="3">
        <v>434065</v>
      </c>
    </row>
    <row r="209" spans="1:3" x14ac:dyDescent="0.2">
      <c r="A209" s="4">
        <v>45589</v>
      </c>
      <c r="B209" s="8">
        <v>11.78</v>
      </c>
      <c r="C209" s="3">
        <v>611325</v>
      </c>
    </row>
    <row r="210" spans="1:3" x14ac:dyDescent="0.2">
      <c r="A210" s="4">
        <v>45590</v>
      </c>
      <c r="B210" s="8">
        <v>11.66</v>
      </c>
      <c r="C210" s="3">
        <v>270745</v>
      </c>
    </row>
    <row r="211" spans="1:3" x14ac:dyDescent="0.2">
      <c r="A211" s="4">
        <v>45593</v>
      </c>
      <c r="B211" s="8">
        <v>11.95</v>
      </c>
      <c r="C211" s="3">
        <v>519562</v>
      </c>
    </row>
    <row r="212" spans="1:3" x14ac:dyDescent="0.2">
      <c r="A212" s="4">
        <v>45594</v>
      </c>
      <c r="B212" s="8">
        <v>11.97</v>
      </c>
      <c r="C212" s="3">
        <v>378633</v>
      </c>
    </row>
    <row r="213" spans="1:3" x14ac:dyDescent="0.2">
      <c r="A213" s="4">
        <v>45595</v>
      </c>
      <c r="B213" s="8">
        <v>11.67</v>
      </c>
      <c r="C213" s="3">
        <v>378408</v>
      </c>
    </row>
    <row r="214" spans="1:3" x14ac:dyDescent="0.2">
      <c r="A214" s="4">
        <v>45596</v>
      </c>
      <c r="B214" s="8">
        <v>11.5</v>
      </c>
      <c r="C214" s="3">
        <v>331517</v>
      </c>
    </row>
    <row r="215" spans="1:3" x14ac:dyDescent="0.2">
      <c r="A215" s="4">
        <v>45597</v>
      </c>
      <c r="B215" s="8">
        <v>11.61</v>
      </c>
      <c r="C215" s="3">
        <v>340282</v>
      </c>
    </row>
    <row r="216" spans="1:3" x14ac:dyDescent="0.2">
      <c r="A216" s="4">
        <v>45600</v>
      </c>
      <c r="B216" s="8">
        <v>11.58</v>
      </c>
      <c r="C216" s="3">
        <v>270838</v>
      </c>
    </row>
    <row r="217" spans="1:3" x14ac:dyDescent="0.2">
      <c r="A217" s="4">
        <v>45601</v>
      </c>
      <c r="B217" s="8">
        <v>11.46</v>
      </c>
      <c r="C217" s="3">
        <v>202461</v>
      </c>
    </row>
    <row r="218" spans="1:3" x14ac:dyDescent="0.2">
      <c r="A218" s="4">
        <v>45602</v>
      </c>
      <c r="B218" s="8">
        <v>11.66</v>
      </c>
      <c r="C218" s="3">
        <v>385737</v>
      </c>
    </row>
    <row r="219" spans="1:3" x14ac:dyDescent="0.2">
      <c r="A219" s="4">
        <v>45603</v>
      </c>
      <c r="B219" s="8">
        <v>11.4</v>
      </c>
      <c r="C219" s="3">
        <v>406884</v>
      </c>
    </row>
    <row r="220" spans="1:3" x14ac:dyDescent="0.2">
      <c r="A220" s="4">
        <v>45604</v>
      </c>
      <c r="B220" s="8">
        <v>11.3</v>
      </c>
      <c r="C220" s="3">
        <v>412369</v>
      </c>
    </row>
    <row r="221" spans="1:3" x14ac:dyDescent="0.2">
      <c r="A221" s="4">
        <v>45607</v>
      </c>
      <c r="B221" s="8">
        <v>11.04</v>
      </c>
      <c r="C221" s="3">
        <v>301377</v>
      </c>
    </row>
    <row r="222" spans="1:3" x14ac:dyDescent="0.2">
      <c r="A222" s="4">
        <v>45608</v>
      </c>
      <c r="B222" s="8">
        <v>11.13</v>
      </c>
      <c r="C222" s="3">
        <v>217752</v>
      </c>
    </row>
    <row r="223" spans="1:3" x14ac:dyDescent="0.2">
      <c r="A223" s="4">
        <v>45609</v>
      </c>
      <c r="B223" s="8">
        <v>11.27</v>
      </c>
      <c r="C223" s="3">
        <v>547510</v>
      </c>
    </row>
    <row r="224" spans="1:3" x14ac:dyDescent="0.2">
      <c r="A224" s="4">
        <v>45610</v>
      </c>
      <c r="B224" s="8">
        <v>11.29</v>
      </c>
      <c r="C224" s="3">
        <v>404223</v>
      </c>
    </row>
    <row r="225" spans="1:3" x14ac:dyDescent="0.2">
      <c r="A225" s="4">
        <v>45611</v>
      </c>
      <c r="B225" s="8">
        <v>11.41</v>
      </c>
      <c r="C225" s="3">
        <v>469934</v>
      </c>
    </row>
    <row r="226" spans="1:3" x14ac:dyDescent="0.2">
      <c r="A226" s="4">
        <v>45614</v>
      </c>
      <c r="B226" s="8">
        <v>11.25</v>
      </c>
      <c r="C226" s="3">
        <v>269553</v>
      </c>
    </row>
    <row r="227" spans="1:3" x14ac:dyDescent="0.2">
      <c r="A227" s="4">
        <v>45615</v>
      </c>
      <c r="B227" s="8">
        <v>11.01</v>
      </c>
      <c r="C227" s="3">
        <v>345945</v>
      </c>
    </row>
    <row r="228" spans="1:3" x14ac:dyDescent="0.2">
      <c r="A228" s="4">
        <v>45616</v>
      </c>
      <c r="B228" s="8">
        <v>11.08</v>
      </c>
      <c r="C228" s="3">
        <v>282842</v>
      </c>
    </row>
    <row r="229" spans="1:3" x14ac:dyDescent="0.2">
      <c r="A229" s="4">
        <v>45617</v>
      </c>
      <c r="B229" s="8">
        <v>11.19</v>
      </c>
      <c r="C229" s="3">
        <v>135040</v>
      </c>
    </row>
    <row r="230" spans="1:3" x14ac:dyDescent="0.2">
      <c r="A230" s="4">
        <v>45618</v>
      </c>
      <c r="B230" s="8">
        <v>11.2</v>
      </c>
      <c r="C230" s="3">
        <v>263261</v>
      </c>
    </row>
    <row r="231" spans="1:3" x14ac:dyDescent="0.2">
      <c r="A231" s="4">
        <v>45621</v>
      </c>
      <c r="B231" s="8">
        <v>11.42</v>
      </c>
      <c r="C231" s="3">
        <v>984018</v>
      </c>
    </row>
    <row r="232" spans="1:3" x14ac:dyDescent="0.2">
      <c r="A232" s="4">
        <v>45622</v>
      </c>
      <c r="B232" s="8">
        <v>11.4</v>
      </c>
      <c r="C232" s="3">
        <v>319716</v>
      </c>
    </row>
    <row r="233" spans="1:3" x14ac:dyDescent="0.2">
      <c r="A233" s="4">
        <v>45623</v>
      </c>
      <c r="B233" s="8">
        <v>11.6</v>
      </c>
      <c r="C233" s="3">
        <v>764174</v>
      </c>
    </row>
    <row r="234" spans="1:3" x14ac:dyDescent="0.2">
      <c r="A234" s="4">
        <v>45624</v>
      </c>
      <c r="B234" s="8">
        <v>11.57</v>
      </c>
      <c r="C234" s="3">
        <v>330030</v>
      </c>
    </row>
    <row r="235" spans="1:3" x14ac:dyDescent="0.2">
      <c r="A235" s="4">
        <v>45625</v>
      </c>
      <c r="B235" s="8">
        <v>11.63</v>
      </c>
      <c r="C235" s="3">
        <v>1264081</v>
      </c>
    </row>
    <row r="236" spans="1:3" x14ac:dyDescent="0.2">
      <c r="A236" s="4">
        <v>45628</v>
      </c>
      <c r="B236" s="8">
        <v>11.61</v>
      </c>
      <c r="C236" s="3">
        <v>225896</v>
      </c>
    </row>
    <row r="237" spans="1:3" x14ac:dyDescent="0.2">
      <c r="A237" s="4">
        <v>45629</v>
      </c>
      <c r="B237" s="8">
        <v>11.34</v>
      </c>
      <c r="C237" s="3">
        <v>216873</v>
      </c>
    </row>
    <row r="238" spans="1:3" x14ac:dyDescent="0.2">
      <c r="A238" s="4">
        <v>45630</v>
      </c>
      <c r="B238" s="8">
        <v>11.36</v>
      </c>
      <c r="C238" s="3">
        <v>202147</v>
      </c>
    </row>
    <row r="239" spans="1:3" x14ac:dyDescent="0.2">
      <c r="A239" s="4">
        <v>45631</v>
      </c>
      <c r="B239" s="8">
        <v>11.58</v>
      </c>
      <c r="C239" s="3">
        <v>323852</v>
      </c>
    </row>
    <row r="240" spans="1:3" x14ac:dyDescent="0.2">
      <c r="A240" s="4">
        <v>45632</v>
      </c>
      <c r="B240" s="8">
        <v>11.36</v>
      </c>
      <c r="C240" s="3">
        <v>347718</v>
      </c>
    </row>
    <row r="241" spans="1:3" x14ac:dyDescent="0.2">
      <c r="A241" s="4">
        <v>45635</v>
      </c>
      <c r="B241" s="8">
        <v>11.44</v>
      </c>
      <c r="C241" s="3">
        <v>294638</v>
      </c>
    </row>
    <row r="242" spans="1:3" x14ac:dyDescent="0.2">
      <c r="A242" s="4">
        <v>45636</v>
      </c>
      <c r="B242" s="8">
        <v>11.09</v>
      </c>
      <c r="C242" s="3">
        <v>475579</v>
      </c>
    </row>
    <row r="243" spans="1:3" x14ac:dyDescent="0.2">
      <c r="A243" s="4">
        <v>45637</v>
      </c>
      <c r="B243" s="8">
        <v>10.93</v>
      </c>
      <c r="C243" s="3">
        <v>207232</v>
      </c>
    </row>
    <row r="244" spans="1:3" x14ac:dyDescent="0.2">
      <c r="A244" s="4">
        <v>45638</v>
      </c>
      <c r="B244" s="8">
        <v>10.87</v>
      </c>
      <c r="C244" s="3">
        <v>186386</v>
      </c>
    </row>
    <row r="245" spans="1:3" x14ac:dyDescent="0.2">
      <c r="A245" s="4">
        <v>45639</v>
      </c>
      <c r="B245" s="8">
        <v>10.97</v>
      </c>
      <c r="C245" s="3">
        <v>202032</v>
      </c>
    </row>
    <row r="246" spans="1:3" x14ac:dyDescent="0.2">
      <c r="A246" s="4">
        <v>45642</v>
      </c>
      <c r="B246" s="8">
        <v>10.98</v>
      </c>
      <c r="C246" s="3">
        <v>179425</v>
      </c>
    </row>
    <row r="247" spans="1:3" x14ac:dyDescent="0.2">
      <c r="A247" s="4">
        <v>45643</v>
      </c>
      <c r="B247" s="8">
        <v>11.3</v>
      </c>
      <c r="C247" s="3">
        <v>376102</v>
      </c>
    </row>
    <row r="248" spans="1:3" x14ac:dyDescent="0.2">
      <c r="A248" s="4">
        <v>45644</v>
      </c>
      <c r="B248" s="8">
        <v>11.26</v>
      </c>
      <c r="C248" s="3">
        <v>168305</v>
      </c>
    </row>
    <row r="249" spans="1:3" x14ac:dyDescent="0.2">
      <c r="A249" s="4">
        <v>45645</v>
      </c>
      <c r="B249" s="8">
        <v>10.96</v>
      </c>
      <c r="C249" s="3">
        <v>229964</v>
      </c>
    </row>
    <row r="250" spans="1:3" x14ac:dyDescent="0.2">
      <c r="A250" s="4">
        <v>45646</v>
      </c>
      <c r="B250" s="8">
        <v>11.35</v>
      </c>
      <c r="C250" s="3">
        <v>987194</v>
      </c>
    </row>
    <row r="251" spans="1:3" x14ac:dyDescent="0.2">
      <c r="A251" s="4">
        <v>45649</v>
      </c>
      <c r="B251" s="8">
        <v>11.39</v>
      </c>
      <c r="C251" s="3">
        <v>269142</v>
      </c>
    </row>
    <row r="252" spans="1:3" x14ac:dyDescent="0.2">
      <c r="A252" s="4">
        <v>45650</v>
      </c>
      <c r="B252" s="8">
        <v>11.56</v>
      </c>
      <c r="C252" s="3">
        <v>93282</v>
      </c>
    </row>
    <row r="253" spans="1:3" x14ac:dyDescent="0.2">
      <c r="A253" s="4">
        <v>45653</v>
      </c>
      <c r="B253" s="8">
        <v>11.55</v>
      </c>
      <c r="C253" s="3">
        <v>197122</v>
      </c>
    </row>
    <row r="254" spans="1:3" x14ac:dyDescent="0.2">
      <c r="A254" s="4">
        <v>45656</v>
      </c>
      <c r="B254" s="8">
        <v>11.57</v>
      </c>
      <c r="C254" s="3">
        <v>253683</v>
      </c>
    </row>
    <row r="255" spans="1:3" x14ac:dyDescent="0.2">
      <c r="A255" s="4">
        <v>45657</v>
      </c>
      <c r="B255" s="8">
        <v>11.57</v>
      </c>
      <c r="C255" s="3">
        <v>48376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9E07-AE96-463D-9519-5B8C4EAAC2F5}">
  <dimension ref="A1:E255"/>
  <sheetViews>
    <sheetView topLeftCell="E1" zoomScale="85" zoomScaleNormal="85" workbookViewId="0">
      <selection activeCell="E8" sqref="E8"/>
    </sheetView>
  </sheetViews>
  <sheetFormatPr defaultRowHeight="12.75" x14ac:dyDescent="0.2"/>
  <cols>
    <col min="1" max="1" width="19" style="4" customWidth="1"/>
    <col min="2" max="5" width="19" style="1" customWidth="1"/>
  </cols>
  <sheetData>
    <row r="1" spans="1:5" ht="15" x14ac:dyDescent="0.25">
      <c r="A1" s="5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4">
        <v>45293</v>
      </c>
      <c r="B2" s="3">
        <v>9.34</v>
      </c>
      <c r="C2" s="3">
        <v>9.3699999999999992</v>
      </c>
      <c r="D2" s="3">
        <v>9.2799999999999994</v>
      </c>
      <c r="E2" s="3">
        <v>9.2799999999999994</v>
      </c>
    </row>
    <row r="3" spans="1:5" x14ac:dyDescent="0.2">
      <c r="A3" s="4">
        <v>45294</v>
      </c>
      <c r="B3" s="3">
        <v>9.31</v>
      </c>
      <c r="C3" s="3">
        <v>9.36</v>
      </c>
      <c r="D3" s="3">
        <v>9.23</v>
      </c>
      <c r="E3" s="3">
        <v>9.3000000000000007</v>
      </c>
    </row>
    <row r="4" spans="1:5" x14ac:dyDescent="0.2">
      <c r="A4" s="4">
        <v>45295</v>
      </c>
      <c r="B4" s="3">
        <v>9.3000000000000007</v>
      </c>
      <c r="C4" s="3">
        <v>9.69</v>
      </c>
      <c r="D4" s="3">
        <v>9.3000000000000007</v>
      </c>
      <c r="E4" s="3">
        <v>9.69</v>
      </c>
    </row>
    <row r="5" spans="1:5" x14ac:dyDescent="0.2">
      <c r="A5" s="4">
        <v>45296</v>
      </c>
      <c r="B5" s="3">
        <v>9.69</v>
      </c>
      <c r="C5" s="3">
        <v>9.69</v>
      </c>
      <c r="D5" s="3">
        <v>9.32</v>
      </c>
      <c r="E5" s="3">
        <v>9.34</v>
      </c>
    </row>
    <row r="6" spans="1:5" x14ac:dyDescent="0.2">
      <c r="A6" s="4">
        <v>45299</v>
      </c>
      <c r="B6" s="3">
        <v>9.48</v>
      </c>
      <c r="C6" s="3">
        <v>9.5299999999999994</v>
      </c>
      <c r="D6" s="3">
        <v>9.36</v>
      </c>
      <c r="E6" s="3">
        <v>9.5299999999999994</v>
      </c>
    </row>
    <row r="7" spans="1:5" x14ac:dyDescent="0.2">
      <c r="A7" s="4">
        <v>45300</v>
      </c>
      <c r="B7" s="3">
        <v>9.57</v>
      </c>
      <c r="C7" s="3">
        <v>9.57</v>
      </c>
      <c r="D7" s="3">
        <v>9.42</v>
      </c>
      <c r="E7" s="3">
        <v>9.51</v>
      </c>
    </row>
    <row r="8" spans="1:5" x14ac:dyDescent="0.2">
      <c r="A8" s="4">
        <v>45301</v>
      </c>
      <c r="B8" s="3">
        <v>9.4499999999999993</v>
      </c>
      <c r="C8" s="3">
        <v>9.51</v>
      </c>
      <c r="D8" s="3">
        <v>9.3800000000000008</v>
      </c>
      <c r="E8" s="3">
        <v>9.4700000000000006</v>
      </c>
    </row>
    <row r="9" spans="1:5" x14ac:dyDescent="0.2">
      <c r="A9" s="4">
        <v>45302</v>
      </c>
      <c r="B9" s="3">
        <v>9.49</v>
      </c>
      <c r="C9" s="3">
        <v>9.52</v>
      </c>
      <c r="D9" s="3">
        <v>9.4</v>
      </c>
      <c r="E9" s="3">
        <v>9.52</v>
      </c>
    </row>
    <row r="10" spans="1:5" x14ac:dyDescent="0.2">
      <c r="A10" s="4">
        <v>45303</v>
      </c>
      <c r="B10" s="3">
        <v>9.6</v>
      </c>
      <c r="C10" s="3">
        <v>9.6</v>
      </c>
      <c r="D10" s="3">
        <v>9.44</v>
      </c>
      <c r="E10" s="3">
        <v>9.5500000000000007</v>
      </c>
    </row>
    <row r="11" spans="1:5" x14ac:dyDescent="0.2">
      <c r="A11" s="4">
        <v>45306</v>
      </c>
      <c r="B11" s="3">
        <v>9.6</v>
      </c>
      <c r="C11" s="3">
        <v>9.6</v>
      </c>
      <c r="D11" s="3">
        <v>9.41</v>
      </c>
      <c r="E11" s="3">
        <v>9.4499999999999993</v>
      </c>
    </row>
    <row r="12" spans="1:5" x14ac:dyDescent="0.2">
      <c r="A12" s="4">
        <v>45307</v>
      </c>
      <c r="B12" s="3">
        <v>9.4600000000000009</v>
      </c>
      <c r="C12" s="3">
        <v>9.5399999999999991</v>
      </c>
      <c r="D12" s="3">
        <v>9.4</v>
      </c>
      <c r="E12" s="3">
        <v>9.48</v>
      </c>
    </row>
    <row r="13" spans="1:5" x14ac:dyDescent="0.2">
      <c r="A13" s="4">
        <v>45308</v>
      </c>
      <c r="B13" s="3">
        <v>9.4600000000000009</v>
      </c>
      <c r="C13" s="3">
        <v>9.6</v>
      </c>
      <c r="D13" s="3">
        <v>9.36</v>
      </c>
      <c r="E13" s="3">
        <v>9.36</v>
      </c>
    </row>
    <row r="14" spans="1:5" x14ac:dyDescent="0.2">
      <c r="A14" s="4">
        <v>45309</v>
      </c>
      <c r="B14" s="3">
        <v>9.5</v>
      </c>
      <c r="C14" s="3">
        <v>9.61</v>
      </c>
      <c r="D14" s="3">
        <v>9.5</v>
      </c>
      <c r="E14" s="3">
        <v>9.56</v>
      </c>
    </row>
    <row r="15" spans="1:5" x14ac:dyDescent="0.2">
      <c r="A15" s="4">
        <v>45310</v>
      </c>
      <c r="B15" s="3">
        <v>9.5500000000000007</v>
      </c>
      <c r="C15" s="3">
        <v>9.5500000000000007</v>
      </c>
      <c r="D15" s="3">
        <v>9.3699999999999992</v>
      </c>
      <c r="E15" s="3">
        <v>9.4</v>
      </c>
    </row>
    <row r="16" spans="1:5" x14ac:dyDescent="0.2">
      <c r="A16" s="4">
        <v>45313</v>
      </c>
      <c r="B16" s="3">
        <v>9.5</v>
      </c>
      <c r="C16" s="3">
        <v>9.5500000000000007</v>
      </c>
      <c r="D16" s="3">
        <v>9.3699999999999992</v>
      </c>
      <c r="E16" s="3">
        <v>9.5299999999999994</v>
      </c>
    </row>
    <row r="17" spans="1:5" x14ac:dyDescent="0.2">
      <c r="A17" s="4">
        <v>45314</v>
      </c>
      <c r="B17" s="3">
        <v>9.5299999999999994</v>
      </c>
      <c r="C17" s="3">
        <v>9.7200000000000006</v>
      </c>
      <c r="D17" s="3">
        <v>9.48</v>
      </c>
      <c r="E17" s="3">
        <v>9.65</v>
      </c>
    </row>
    <row r="18" spans="1:5" x14ac:dyDescent="0.2">
      <c r="A18" s="4">
        <v>45315</v>
      </c>
      <c r="B18" s="3">
        <v>9.65</v>
      </c>
      <c r="C18" s="3">
        <v>9.7100000000000009</v>
      </c>
      <c r="D18" s="3">
        <v>9.6</v>
      </c>
      <c r="E18" s="3">
        <v>9.6</v>
      </c>
    </row>
    <row r="19" spans="1:5" x14ac:dyDescent="0.2">
      <c r="A19" s="4">
        <v>45316</v>
      </c>
      <c r="B19" s="3">
        <v>9.6300000000000008</v>
      </c>
      <c r="C19" s="3">
        <v>9.94</v>
      </c>
      <c r="D19" s="3">
        <v>9.6300000000000008</v>
      </c>
      <c r="E19" s="3">
        <v>9.64</v>
      </c>
    </row>
    <row r="20" spans="1:5" x14ac:dyDescent="0.2">
      <c r="A20" s="4">
        <v>45320</v>
      </c>
      <c r="B20" s="3">
        <v>9.7200000000000006</v>
      </c>
      <c r="C20" s="3">
        <v>10.23</v>
      </c>
      <c r="D20" s="3">
        <v>9.7200000000000006</v>
      </c>
      <c r="E20" s="3">
        <v>10.09</v>
      </c>
    </row>
    <row r="21" spans="1:5" x14ac:dyDescent="0.2">
      <c r="A21" s="4">
        <v>45321</v>
      </c>
      <c r="B21" s="3">
        <v>10.16</v>
      </c>
      <c r="C21" s="3">
        <v>10.16</v>
      </c>
      <c r="D21" s="3">
        <v>9.9</v>
      </c>
      <c r="E21" s="3">
        <v>9.9700000000000006</v>
      </c>
    </row>
    <row r="22" spans="1:5" x14ac:dyDescent="0.2">
      <c r="A22" s="4">
        <v>45322</v>
      </c>
      <c r="B22" s="3">
        <v>9.98</v>
      </c>
      <c r="C22" s="3">
        <v>9.98</v>
      </c>
      <c r="D22" s="3">
        <v>9.81</v>
      </c>
      <c r="E22" s="3">
        <v>9.8800000000000008</v>
      </c>
    </row>
    <row r="23" spans="1:5" x14ac:dyDescent="0.2">
      <c r="A23" s="4">
        <v>45323</v>
      </c>
      <c r="B23" s="3">
        <v>9.92</v>
      </c>
      <c r="C23" s="3">
        <v>10</v>
      </c>
      <c r="D23" s="3">
        <v>9.77</v>
      </c>
      <c r="E23" s="3">
        <v>9.9499999999999993</v>
      </c>
    </row>
    <row r="24" spans="1:5" x14ac:dyDescent="0.2">
      <c r="A24" s="4">
        <v>45324</v>
      </c>
      <c r="B24" s="3">
        <v>10.15</v>
      </c>
      <c r="C24" s="3">
        <v>10.15</v>
      </c>
      <c r="D24" s="3">
        <v>9.81</v>
      </c>
      <c r="E24" s="3">
        <v>9.8699999999999992</v>
      </c>
    </row>
    <row r="25" spans="1:5" x14ac:dyDescent="0.2">
      <c r="A25" s="4">
        <v>45327</v>
      </c>
      <c r="B25" s="3">
        <v>9.93</v>
      </c>
      <c r="C25" s="3">
        <v>9.93</v>
      </c>
      <c r="D25" s="3">
        <v>9.77</v>
      </c>
      <c r="E25" s="3">
        <v>9.92</v>
      </c>
    </row>
    <row r="26" spans="1:5" x14ac:dyDescent="0.2">
      <c r="A26" s="4">
        <v>45328</v>
      </c>
      <c r="B26" s="3">
        <v>9.93</v>
      </c>
      <c r="C26" s="3">
        <v>9.93</v>
      </c>
      <c r="D26" s="3">
        <v>9.85</v>
      </c>
      <c r="E26" s="3">
        <v>9.92</v>
      </c>
    </row>
    <row r="27" spans="1:5" x14ac:dyDescent="0.2">
      <c r="A27" s="4">
        <v>45329</v>
      </c>
      <c r="B27" s="3">
        <v>9.89</v>
      </c>
      <c r="C27" s="3">
        <v>9.9849999999999994</v>
      </c>
      <c r="D27" s="3">
        <v>9.8800000000000008</v>
      </c>
      <c r="E27" s="3">
        <v>9.93</v>
      </c>
    </row>
    <row r="28" spans="1:5" x14ac:dyDescent="0.2">
      <c r="A28" s="4">
        <v>45330</v>
      </c>
      <c r="B28" s="3">
        <v>10.029999999999999</v>
      </c>
      <c r="C28" s="3">
        <v>10.029999999999999</v>
      </c>
      <c r="D28" s="3">
        <v>9.77</v>
      </c>
      <c r="E28" s="3">
        <v>9.81</v>
      </c>
    </row>
    <row r="29" spans="1:5" x14ac:dyDescent="0.2">
      <c r="A29" s="4">
        <v>45331</v>
      </c>
      <c r="B29" s="3">
        <v>9.83</v>
      </c>
      <c r="C29" s="3">
        <v>10.11</v>
      </c>
      <c r="D29" s="3">
        <v>9.76</v>
      </c>
      <c r="E29" s="3">
        <v>10.11</v>
      </c>
    </row>
    <row r="30" spans="1:5" x14ac:dyDescent="0.2">
      <c r="A30" s="4">
        <v>45334</v>
      </c>
      <c r="B30" s="3">
        <v>10.18</v>
      </c>
      <c r="C30" s="3">
        <v>10.18</v>
      </c>
      <c r="D30" s="3">
        <v>9.84</v>
      </c>
      <c r="E30" s="3">
        <v>9.8699999999999992</v>
      </c>
    </row>
    <row r="31" spans="1:5" x14ac:dyDescent="0.2">
      <c r="A31" s="4">
        <v>45335</v>
      </c>
      <c r="B31" s="3">
        <v>9.91</v>
      </c>
      <c r="C31" s="3">
        <v>9.92</v>
      </c>
      <c r="D31" s="3">
        <v>9.77</v>
      </c>
      <c r="E31" s="3">
        <v>9.7799999999999994</v>
      </c>
    </row>
    <row r="32" spans="1:5" x14ac:dyDescent="0.2">
      <c r="A32" s="4">
        <v>45336</v>
      </c>
      <c r="B32" s="3">
        <v>9.8000000000000007</v>
      </c>
      <c r="C32" s="3">
        <v>9.8000000000000007</v>
      </c>
      <c r="D32" s="3">
        <v>9.57</v>
      </c>
      <c r="E32" s="3">
        <v>9.6300000000000008</v>
      </c>
    </row>
    <row r="33" spans="1:5" x14ac:dyDescent="0.2">
      <c r="A33" s="4">
        <v>45337</v>
      </c>
      <c r="B33" s="3">
        <v>9.68</v>
      </c>
      <c r="C33" s="3">
        <v>9.73</v>
      </c>
      <c r="D33" s="3">
        <v>9.57</v>
      </c>
      <c r="E33" s="3">
        <v>9.6300000000000008</v>
      </c>
    </row>
    <row r="34" spans="1:5" x14ac:dyDescent="0.2">
      <c r="A34" s="4">
        <v>45338</v>
      </c>
      <c r="B34" s="3">
        <v>9.6300000000000008</v>
      </c>
      <c r="C34" s="3">
        <v>9.8800000000000008</v>
      </c>
      <c r="D34" s="3">
        <v>9.57</v>
      </c>
      <c r="E34" s="3">
        <v>9.8000000000000007</v>
      </c>
    </row>
    <row r="35" spans="1:5" x14ac:dyDescent="0.2">
      <c r="A35" s="4">
        <v>45341</v>
      </c>
      <c r="B35" s="3">
        <v>9.7100000000000009</v>
      </c>
      <c r="C35" s="3">
        <v>9.7799999999999994</v>
      </c>
      <c r="D35" s="3">
        <v>9.5500000000000007</v>
      </c>
      <c r="E35" s="3">
        <v>9.5500000000000007</v>
      </c>
    </row>
    <row r="36" spans="1:5" x14ac:dyDescent="0.2">
      <c r="A36" s="4">
        <v>45342</v>
      </c>
      <c r="B36" s="3">
        <v>9.66</v>
      </c>
      <c r="C36" s="3">
        <v>9.7200000000000006</v>
      </c>
      <c r="D36" s="3">
        <v>9.66</v>
      </c>
      <c r="E36" s="3">
        <v>9.7200000000000006</v>
      </c>
    </row>
    <row r="37" spans="1:5" x14ac:dyDescent="0.2">
      <c r="A37" s="4">
        <v>45343</v>
      </c>
      <c r="B37" s="3">
        <v>9.76</v>
      </c>
      <c r="C37" s="3">
        <v>9.76</v>
      </c>
      <c r="D37" s="3">
        <v>9.5</v>
      </c>
      <c r="E37" s="3">
        <v>9.5</v>
      </c>
    </row>
    <row r="38" spans="1:5" x14ac:dyDescent="0.2">
      <c r="A38" s="4">
        <v>45344</v>
      </c>
      <c r="B38" s="3">
        <v>9.6</v>
      </c>
      <c r="C38" s="3">
        <v>9.86</v>
      </c>
      <c r="D38" s="3">
        <v>9.6</v>
      </c>
      <c r="E38" s="3">
        <v>9.86</v>
      </c>
    </row>
    <row r="39" spans="1:5" x14ac:dyDescent="0.2">
      <c r="A39" s="4">
        <v>45345</v>
      </c>
      <c r="B39" s="3">
        <v>9.82</v>
      </c>
      <c r="C39" s="3">
        <v>9.82</v>
      </c>
      <c r="D39" s="3">
        <v>9.64</v>
      </c>
      <c r="E39" s="3">
        <v>9.67</v>
      </c>
    </row>
    <row r="40" spans="1:5" x14ac:dyDescent="0.2">
      <c r="A40" s="4">
        <v>45348</v>
      </c>
      <c r="B40" s="3">
        <v>9.7799999999999994</v>
      </c>
      <c r="C40" s="3">
        <v>9.7799999999999994</v>
      </c>
      <c r="D40" s="3">
        <v>9.5</v>
      </c>
      <c r="E40" s="3">
        <v>9.6300000000000008</v>
      </c>
    </row>
    <row r="41" spans="1:5" x14ac:dyDescent="0.2">
      <c r="A41" s="4">
        <v>45349</v>
      </c>
      <c r="B41" s="3">
        <v>9.6</v>
      </c>
      <c r="C41" s="3">
        <v>9.6199999999999992</v>
      </c>
      <c r="D41" s="3">
        <v>9.5</v>
      </c>
      <c r="E41" s="3">
        <v>9.52</v>
      </c>
    </row>
    <row r="42" spans="1:5" x14ac:dyDescent="0.2">
      <c r="A42" s="4">
        <v>45350</v>
      </c>
      <c r="B42" s="3">
        <v>9.52</v>
      </c>
      <c r="C42" s="3">
        <v>9.7200000000000006</v>
      </c>
      <c r="D42" s="3">
        <v>9.52</v>
      </c>
      <c r="E42" s="3">
        <v>9.66</v>
      </c>
    </row>
    <row r="43" spans="1:5" x14ac:dyDescent="0.2">
      <c r="A43" s="4">
        <v>45351</v>
      </c>
      <c r="B43" s="3">
        <v>9.58</v>
      </c>
      <c r="C43" s="3">
        <v>9.73</v>
      </c>
      <c r="D43" s="3">
        <v>9.5500000000000007</v>
      </c>
      <c r="E43" s="3">
        <v>9.7200000000000006</v>
      </c>
    </row>
    <row r="44" spans="1:5" x14ac:dyDescent="0.2">
      <c r="A44" s="4">
        <v>45352</v>
      </c>
      <c r="B44" s="3">
        <v>9.7200000000000006</v>
      </c>
      <c r="C44" s="3">
        <v>9.73</v>
      </c>
      <c r="D44" s="3">
        <v>9.6</v>
      </c>
      <c r="E44" s="3">
        <v>9.6199999999999992</v>
      </c>
    </row>
    <row r="45" spans="1:5" x14ac:dyDescent="0.2">
      <c r="A45" s="4">
        <v>45355</v>
      </c>
      <c r="B45" s="3">
        <v>9.7799999999999994</v>
      </c>
      <c r="C45" s="3">
        <v>9.7799999999999994</v>
      </c>
      <c r="D45" s="3">
        <v>9.5500000000000007</v>
      </c>
      <c r="E45" s="3">
        <v>9.7100000000000009</v>
      </c>
    </row>
    <row r="46" spans="1:5" x14ac:dyDescent="0.2">
      <c r="A46" s="4">
        <v>45356</v>
      </c>
      <c r="B46" s="3">
        <v>9.67</v>
      </c>
      <c r="C46" s="3">
        <v>9.75</v>
      </c>
      <c r="D46" s="3">
        <v>9.52</v>
      </c>
      <c r="E46" s="3">
        <v>9.58</v>
      </c>
    </row>
    <row r="47" spans="1:5" x14ac:dyDescent="0.2">
      <c r="A47" s="4">
        <v>45357</v>
      </c>
      <c r="B47" s="3">
        <v>9.65</v>
      </c>
      <c r="C47" s="3">
        <v>9.9</v>
      </c>
      <c r="D47" s="3">
        <v>9.61</v>
      </c>
      <c r="E47" s="3">
        <v>9.9</v>
      </c>
    </row>
    <row r="48" spans="1:5" x14ac:dyDescent="0.2">
      <c r="A48" s="4">
        <v>45358</v>
      </c>
      <c r="B48" s="3">
        <v>9.9499999999999993</v>
      </c>
      <c r="C48" s="3">
        <v>9.9499999999999993</v>
      </c>
      <c r="D48" s="3">
        <v>9.81</v>
      </c>
      <c r="E48" s="3">
        <v>9.81</v>
      </c>
    </row>
    <row r="49" spans="1:5" x14ac:dyDescent="0.2">
      <c r="A49" s="4">
        <v>45359</v>
      </c>
      <c r="B49" s="3">
        <v>9.82</v>
      </c>
      <c r="C49" s="3">
        <v>9.9600000000000009</v>
      </c>
      <c r="D49" s="3">
        <v>9.7799999999999994</v>
      </c>
      <c r="E49" s="3">
        <v>9.92</v>
      </c>
    </row>
    <row r="50" spans="1:5" x14ac:dyDescent="0.2">
      <c r="A50" s="4">
        <v>45362</v>
      </c>
      <c r="B50" s="3">
        <v>9.8800000000000008</v>
      </c>
      <c r="C50" s="3">
        <v>9.9600000000000009</v>
      </c>
      <c r="D50" s="3">
        <v>9.7899999999999991</v>
      </c>
      <c r="E50" s="3">
        <v>9.9600000000000009</v>
      </c>
    </row>
    <row r="51" spans="1:5" x14ac:dyDescent="0.2">
      <c r="A51" s="4">
        <v>45363</v>
      </c>
      <c r="B51" s="3">
        <v>9.9600000000000009</v>
      </c>
      <c r="C51" s="3">
        <v>9.9600000000000009</v>
      </c>
      <c r="D51" s="3">
        <v>9.75</v>
      </c>
      <c r="E51" s="3">
        <v>9.75</v>
      </c>
    </row>
    <row r="52" spans="1:5" x14ac:dyDescent="0.2">
      <c r="A52" s="4">
        <v>45364</v>
      </c>
      <c r="B52" s="3">
        <v>9.77</v>
      </c>
      <c r="C52" s="3">
        <v>9.9700000000000006</v>
      </c>
      <c r="D52" s="3">
        <v>9.77</v>
      </c>
      <c r="E52" s="3">
        <v>9.9700000000000006</v>
      </c>
    </row>
    <row r="53" spans="1:5" x14ac:dyDescent="0.2">
      <c r="A53" s="4">
        <v>45365</v>
      </c>
      <c r="B53" s="3">
        <v>9.98</v>
      </c>
      <c r="C53" s="3">
        <v>10</v>
      </c>
      <c r="D53" s="3">
        <v>9.73</v>
      </c>
      <c r="E53" s="3">
        <v>9.9600000000000009</v>
      </c>
    </row>
    <row r="54" spans="1:5" x14ac:dyDescent="0.2">
      <c r="A54" s="4">
        <v>45366</v>
      </c>
      <c r="B54" s="3">
        <v>9.9600000000000009</v>
      </c>
      <c r="C54" s="3">
        <v>9.9600000000000009</v>
      </c>
      <c r="D54" s="3">
        <v>9.69</v>
      </c>
      <c r="E54" s="3">
        <v>9.7100000000000009</v>
      </c>
    </row>
    <row r="55" spans="1:5" x14ac:dyDescent="0.2">
      <c r="A55" s="4">
        <v>45369</v>
      </c>
      <c r="B55" s="3">
        <v>9.76</v>
      </c>
      <c r="C55" s="3">
        <v>9.84</v>
      </c>
      <c r="D55" s="3">
        <v>9.73</v>
      </c>
      <c r="E55" s="3">
        <v>9.81</v>
      </c>
    </row>
    <row r="56" spans="1:5" x14ac:dyDescent="0.2">
      <c r="A56" s="4">
        <v>45370</v>
      </c>
      <c r="B56" s="3">
        <v>9.83</v>
      </c>
      <c r="C56" s="3">
        <v>9.83</v>
      </c>
      <c r="D56" s="3">
        <v>9.73</v>
      </c>
      <c r="E56" s="3">
        <v>9.75</v>
      </c>
    </row>
    <row r="57" spans="1:5" x14ac:dyDescent="0.2">
      <c r="A57" s="4">
        <v>45371</v>
      </c>
      <c r="B57" s="3">
        <v>9.8000000000000007</v>
      </c>
      <c r="C57" s="3">
        <v>9.9350000000000005</v>
      </c>
      <c r="D57" s="3">
        <v>9.8000000000000007</v>
      </c>
      <c r="E57" s="3">
        <v>9.8800000000000008</v>
      </c>
    </row>
    <row r="58" spans="1:5" x14ac:dyDescent="0.2">
      <c r="A58" s="4">
        <v>45372</v>
      </c>
      <c r="B58" s="3">
        <v>9.8000000000000007</v>
      </c>
      <c r="C58" s="3">
        <v>9.86</v>
      </c>
      <c r="D58" s="3">
        <v>9.76</v>
      </c>
      <c r="E58" s="3">
        <v>9.77</v>
      </c>
    </row>
    <row r="59" spans="1:5" x14ac:dyDescent="0.2">
      <c r="A59" s="4">
        <v>45373</v>
      </c>
      <c r="B59" s="3">
        <v>9.77</v>
      </c>
      <c r="C59" s="3">
        <v>9.85</v>
      </c>
      <c r="D59" s="3">
        <v>9.76</v>
      </c>
      <c r="E59" s="3">
        <v>9.84</v>
      </c>
    </row>
    <row r="60" spans="1:5" x14ac:dyDescent="0.2">
      <c r="A60" s="4">
        <v>45376</v>
      </c>
      <c r="B60" s="3">
        <v>9.8800000000000008</v>
      </c>
      <c r="C60" s="3">
        <v>9.9700000000000006</v>
      </c>
      <c r="D60" s="3">
        <v>9.74</v>
      </c>
      <c r="E60" s="3">
        <v>9.85</v>
      </c>
    </row>
    <row r="61" spans="1:5" x14ac:dyDescent="0.2">
      <c r="A61" s="4">
        <v>45377</v>
      </c>
      <c r="B61" s="3">
        <v>9.8699999999999992</v>
      </c>
      <c r="C61" s="3">
        <v>10.050000000000001</v>
      </c>
      <c r="D61" s="3">
        <v>9.83</v>
      </c>
      <c r="E61" s="3">
        <v>10.01</v>
      </c>
    </row>
    <row r="62" spans="1:5" x14ac:dyDescent="0.2">
      <c r="A62" s="4">
        <v>45378</v>
      </c>
      <c r="B62" s="3">
        <v>9.9600000000000009</v>
      </c>
      <c r="C62" s="3">
        <v>10.07</v>
      </c>
      <c r="D62" s="3">
        <v>9.8699999999999992</v>
      </c>
      <c r="E62" s="3">
        <v>9.8699999999999992</v>
      </c>
    </row>
    <row r="63" spans="1:5" x14ac:dyDescent="0.2">
      <c r="A63" s="4">
        <v>45379</v>
      </c>
      <c r="B63" s="3">
        <v>9.91</v>
      </c>
      <c r="C63" s="3">
        <v>10.07</v>
      </c>
      <c r="D63" s="3">
        <v>9.8000000000000007</v>
      </c>
      <c r="E63" s="3">
        <v>9.92</v>
      </c>
    </row>
    <row r="64" spans="1:5" x14ac:dyDescent="0.2">
      <c r="A64" s="4">
        <v>45384</v>
      </c>
      <c r="B64" s="3">
        <v>9.9499999999999993</v>
      </c>
      <c r="C64" s="3">
        <v>10.08</v>
      </c>
      <c r="D64" s="3">
        <v>9.92</v>
      </c>
      <c r="E64" s="3">
        <v>9.9700000000000006</v>
      </c>
    </row>
    <row r="65" spans="1:5" x14ac:dyDescent="0.2">
      <c r="A65" s="4">
        <v>45385</v>
      </c>
      <c r="B65" s="3">
        <v>9.9700000000000006</v>
      </c>
      <c r="C65" s="3">
        <v>10.050000000000001</v>
      </c>
      <c r="D65" s="3">
        <v>9.93</v>
      </c>
      <c r="E65" s="3">
        <v>9.9700000000000006</v>
      </c>
    </row>
    <row r="66" spans="1:5" x14ac:dyDescent="0.2">
      <c r="A66" s="4">
        <v>45386</v>
      </c>
      <c r="B66" s="3">
        <v>10.039999999999999</v>
      </c>
      <c r="C66" s="3">
        <v>10.07</v>
      </c>
      <c r="D66" s="3">
        <v>9.98</v>
      </c>
      <c r="E66" s="3">
        <v>10.039999999999999</v>
      </c>
    </row>
    <row r="67" spans="1:5" x14ac:dyDescent="0.2">
      <c r="A67" s="4">
        <v>45387</v>
      </c>
      <c r="B67" s="3">
        <v>10</v>
      </c>
      <c r="C67" s="3">
        <v>10</v>
      </c>
      <c r="D67" s="3">
        <v>9.8800000000000008</v>
      </c>
      <c r="E67" s="3">
        <v>9.98</v>
      </c>
    </row>
    <row r="68" spans="1:5" x14ac:dyDescent="0.2">
      <c r="A68" s="4">
        <v>45390</v>
      </c>
      <c r="B68" s="3">
        <v>10.08</v>
      </c>
      <c r="C68" s="3">
        <v>10.08</v>
      </c>
      <c r="D68" s="3">
        <v>9.89</v>
      </c>
      <c r="E68" s="3">
        <v>10.050000000000001</v>
      </c>
    </row>
    <row r="69" spans="1:5" x14ac:dyDescent="0.2">
      <c r="A69" s="4">
        <v>45391</v>
      </c>
      <c r="B69" s="3">
        <v>10.039999999999999</v>
      </c>
      <c r="C69" s="3">
        <v>10.039999999999999</v>
      </c>
      <c r="D69" s="3">
        <v>9.9600000000000009</v>
      </c>
      <c r="E69" s="3">
        <v>9.9700000000000006</v>
      </c>
    </row>
    <row r="70" spans="1:5" x14ac:dyDescent="0.2">
      <c r="A70" s="4">
        <v>45392</v>
      </c>
      <c r="B70" s="3">
        <v>9.9700000000000006</v>
      </c>
      <c r="C70" s="3">
        <v>10.050000000000001</v>
      </c>
      <c r="D70" s="3">
        <v>9.92</v>
      </c>
      <c r="E70" s="3">
        <v>10.050000000000001</v>
      </c>
    </row>
    <row r="71" spans="1:5" x14ac:dyDescent="0.2">
      <c r="A71" s="4">
        <v>45393</v>
      </c>
      <c r="B71" s="3">
        <v>10.01</v>
      </c>
      <c r="C71" s="3">
        <v>10.199999999999999</v>
      </c>
      <c r="D71" s="3">
        <v>9.9499999999999993</v>
      </c>
      <c r="E71" s="3">
        <v>10.199999999999999</v>
      </c>
    </row>
    <row r="72" spans="1:5" x14ac:dyDescent="0.2">
      <c r="A72" s="4">
        <v>45394</v>
      </c>
      <c r="B72" s="3">
        <v>10.17</v>
      </c>
      <c r="C72" s="3">
        <v>10.17</v>
      </c>
      <c r="D72" s="3">
        <v>9.98</v>
      </c>
      <c r="E72" s="3">
        <v>10.130000000000001</v>
      </c>
    </row>
    <row r="73" spans="1:5" x14ac:dyDescent="0.2">
      <c r="A73" s="4">
        <v>45397</v>
      </c>
      <c r="B73" s="3">
        <v>10.01</v>
      </c>
      <c r="C73" s="3">
        <v>10.01</v>
      </c>
      <c r="D73" s="3">
        <v>9.93</v>
      </c>
      <c r="E73" s="3">
        <v>9.98</v>
      </c>
    </row>
    <row r="74" spans="1:5" x14ac:dyDescent="0.2">
      <c r="A74" s="4">
        <v>45398</v>
      </c>
      <c r="B74" s="3">
        <v>10</v>
      </c>
      <c r="C74" s="3">
        <v>10</v>
      </c>
      <c r="D74" s="3">
        <v>9.8800000000000008</v>
      </c>
      <c r="E74" s="3">
        <v>10</v>
      </c>
    </row>
    <row r="75" spans="1:5" x14ac:dyDescent="0.2">
      <c r="A75" s="4">
        <v>45399</v>
      </c>
      <c r="B75" s="3">
        <v>10</v>
      </c>
      <c r="C75" s="3">
        <v>10.17</v>
      </c>
      <c r="D75" s="3">
        <v>9.9700000000000006</v>
      </c>
      <c r="E75" s="3">
        <v>10.16</v>
      </c>
    </row>
    <row r="76" spans="1:5" x14ac:dyDescent="0.2">
      <c r="A76" s="4">
        <v>45400</v>
      </c>
      <c r="B76" s="3">
        <v>10.16</v>
      </c>
      <c r="C76" s="3">
        <v>10.16</v>
      </c>
      <c r="D76" s="3">
        <v>9.91</v>
      </c>
      <c r="E76" s="3">
        <v>9.92</v>
      </c>
    </row>
    <row r="77" spans="1:5" x14ac:dyDescent="0.2">
      <c r="A77" s="4">
        <v>45401</v>
      </c>
      <c r="B77" s="3">
        <v>9.9499999999999993</v>
      </c>
      <c r="C77" s="3">
        <v>10.039999999999999</v>
      </c>
      <c r="D77" s="3">
        <v>9.9499999999999993</v>
      </c>
      <c r="E77" s="3">
        <v>9.99</v>
      </c>
    </row>
    <row r="78" spans="1:5" x14ac:dyDescent="0.2">
      <c r="A78" s="4">
        <v>45404</v>
      </c>
      <c r="B78" s="3">
        <v>10.09</v>
      </c>
      <c r="C78" s="3">
        <v>10.09</v>
      </c>
      <c r="D78" s="3">
        <v>9.91</v>
      </c>
      <c r="E78" s="3">
        <v>9.9499999999999993</v>
      </c>
    </row>
    <row r="79" spans="1:5" x14ac:dyDescent="0.2">
      <c r="A79" s="4">
        <v>45405</v>
      </c>
      <c r="B79" s="3">
        <v>10.01</v>
      </c>
      <c r="C79" s="3">
        <v>10.02</v>
      </c>
      <c r="D79" s="3">
        <v>9.89</v>
      </c>
      <c r="E79" s="3">
        <v>9.93</v>
      </c>
    </row>
    <row r="80" spans="1:5" x14ac:dyDescent="0.2">
      <c r="A80" s="4">
        <v>45406</v>
      </c>
      <c r="B80" s="3">
        <v>10.050000000000001</v>
      </c>
      <c r="C80" s="3">
        <v>10.050000000000001</v>
      </c>
      <c r="D80" s="3">
        <v>9.89</v>
      </c>
      <c r="E80" s="3">
        <v>10.029999999999999</v>
      </c>
    </row>
    <row r="81" spans="1:5" x14ac:dyDescent="0.2">
      <c r="A81" s="4">
        <v>45408</v>
      </c>
      <c r="B81" s="3">
        <v>10.050000000000001</v>
      </c>
      <c r="C81" s="3">
        <v>10.050000000000001</v>
      </c>
      <c r="D81" s="3">
        <v>9.82</v>
      </c>
      <c r="E81" s="3">
        <v>9.92</v>
      </c>
    </row>
    <row r="82" spans="1:5" x14ac:dyDescent="0.2">
      <c r="A82" s="4">
        <v>45411</v>
      </c>
      <c r="B82" s="3">
        <v>10.039999999999999</v>
      </c>
      <c r="C82" s="3">
        <v>10.19</v>
      </c>
      <c r="D82" s="3">
        <v>9.93</v>
      </c>
      <c r="E82" s="3">
        <v>9.9499999999999993</v>
      </c>
    </row>
    <row r="83" spans="1:5" x14ac:dyDescent="0.2">
      <c r="A83" s="4">
        <v>45412</v>
      </c>
      <c r="B83" s="3">
        <v>10.02</v>
      </c>
      <c r="C83" s="3">
        <v>10.09</v>
      </c>
      <c r="D83" s="3">
        <v>9.9600000000000009</v>
      </c>
      <c r="E83" s="3">
        <v>10</v>
      </c>
    </row>
    <row r="84" spans="1:5" x14ac:dyDescent="0.2">
      <c r="A84" s="4">
        <v>45413</v>
      </c>
      <c r="B84" s="3">
        <v>10</v>
      </c>
      <c r="C84" s="3">
        <v>10.039999999999999</v>
      </c>
      <c r="D84" s="3">
        <v>9.9700000000000006</v>
      </c>
      <c r="E84" s="3">
        <v>9.9700000000000006</v>
      </c>
    </row>
    <row r="85" spans="1:5" x14ac:dyDescent="0.2">
      <c r="A85" s="4">
        <v>45414</v>
      </c>
      <c r="B85" s="3">
        <v>10</v>
      </c>
      <c r="C85" s="3">
        <v>10.029999999999999</v>
      </c>
      <c r="D85" s="3">
        <v>9.92</v>
      </c>
      <c r="E85" s="3">
        <v>10.02</v>
      </c>
    </row>
    <row r="86" spans="1:5" x14ac:dyDescent="0.2">
      <c r="A86" s="4">
        <v>45415</v>
      </c>
      <c r="B86" s="3">
        <v>10.02</v>
      </c>
      <c r="C86" s="3">
        <v>10.02</v>
      </c>
      <c r="D86" s="3">
        <v>9.86</v>
      </c>
      <c r="E86" s="3">
        <v>9.9499999999999993</v>
      </c>
    </row>
    <row r="87" spans="1:5" x14ac:dyDescent="0.2">
      <c r="A87" s="4">
        <v>45418</v>
      </c>
      <c r="B87" s="3">
        <v>9.9600000000000009</v>
      </c>
      <c r="C87" s="3">
        <v>9.98</v>
      </c>
      <c r="D87" s="3">
        <v>9.67</v>
      </c>
      <c r="E87" s="3">
        <v>9.68</v>
      </c>
    </row>
    <row r="88" spans="1:5" x14ac:dyDescent="0.2">
      <c r="A88" s="4">
        <v>45419</v>
      </c>
      <c r="B88" s="3">
        <v>9.7200000000000006</v>
      </c>
      <c r="C88" s="3">
        <v>9.8000000000000007</v>
      </c>
      <c r="D88" s="3">
        <v>9.65</v>
      </c>
      <c r="E88" s="3">
        <v>9.73</v>
      </c>
    </row>
    <row r="89" spans="1:5" x14ac:dyDescent="0.2">
      <c r="A89" s="4">
        <v>45420</v>
      </c>
      <c r="B89" s="3">
        <v>9.75</v>
      </c>
      <c r="C89" s="3">
        <v>9.89</v>
      </c>
      <c r="D89" s="3">
        <v>9.75</v>
      </c>
      <c r="E89" s="3">
        <v>9.89</v>
      </c>
    </row>
    <row r="90" spans="1:5" x14ac:dyDescent="0.2">
      <c r="A90" s="4">
        <v>45421</v>
      </c>
      <c r="B90" s="3">
        <v>9.89</v>
      </c>
      <c r="C90" s="3">
        <v>9.89</v>
      </c>
      <c r="D90" s="3">
        <v>9.7100000000000009</v>
      </c>
      <c r="E90" s="3">
        <v>9.7799999999999994</v>
      </c>
    </row>
    <row r="91" spans="1:5" x14ac:dyDescent="0.2">
      <c r="A91" s="4">
        <v>45422</v>
      </c>
      <c r="B91" s="3">
        <v>9.8800000000000008</v>
      </c>
      <c r="C91" s="3">
        <v>9.8800000000000008</v>
      </c>
      <c r="D91" s="3">
        <v>9.7100000000000009</v>
      </c>
      <c r="E91" s="3">
        <v>9.7100000000000009</v>
      </c>
    </row>
    <row r="92" spans="1:5" x14ac:dyDescent="0.2">
      <c r="A92" s="4">
        <v>45425</v>
      </c>
      <c r="B92" s="3">
        <v>9.75</v>
      </c>
      <c r="C92" s="3">
        <v>9.75</v>
      </c>
      <c r="D92" s="3">
        <v>9.58</v>
      </c>
      <c r="E92" s="3">
        <v>9.6300000000000008</v>
      </c>
    </row>
    <row r="93" spans="1:5" x14ac:dyDescent="0.2">
      <c r="A93" s="4">
        <v>45426</v>
      </c>
      <c r="B93" s="3">
        <v>9.6</v>
      </c>
      <c r="C93" s="3">
        <v>9.61</v>
      </c>
      <c r="D93" s="3">
        <v>9.4</v>
      </c>
      <c r="E93" s="3">
        <v>9.48</v>
      </c>
    </row>
    <row r="94" spans="1:5" x14ac:dyDescent="0.2">
      <c r="A94" s="4">
        <v>45427</v>
      </c>
      <c r="B94" s="3">
        <v>9.4499999999999993</v>
      </c>
      <c r="C94" s="3">
        <v>9.6</v>
      </c>
      <c r="D94" s="3">
        <v>9.43</v>
      </c>
      <c r="E94" s="3">
        <v>9.5500000000000007</v>
      </c>
    </row>
    <row r="95" spans="1:5" x14ac:dyDescent="0.2">
      <c r="A95" s="4">
        <v>45428</v>
      </c>
      <c r="B95" s="3">
        <v>9.65</v>
      </c>
      <c r="C95" s="3">
        <v>9.9</v>
      </c>
      <c r="D95" s="3">
        <v>9.65</v>
      </c>
      <c r="E95" s="3">
        <v>9.84</v>
      </c>
    </row>
    <row r="96" spans="1:5" x14ac:dyDescent="0.2">
      <c r="A96" s="4">
        <v>45429</v>
      </c>
      <c r="B96" s="3">
        <v>9.86</v>
      </c>
      <c r="C96" s="3">
        <v>9.98</v>
      </c>
      <c r="D96" s="3">
        <v>9.86</v>
      </c>
      <c r="E96" s="3">
        <v>9.94</v>
      </c>
    </row>
    <row r="97" spans="1:5" x14ac:dyDescent="0.2">
      <c r="A97" s="4">
        <v>45432</v>
      </c>
      <c r="B97" s="3">
        <v>9.9499999999999993</v>
      </c>
      <c r="C97" s="3">
        <v>10.42</v>
      </c>
      <c r="D97" s="3">
        <v>9.9499999999999993</v>
      </c>
      <c r="E97" s="3">
        <v>10.35</v>
      </c>
    </row>
    <row r="98" spans="1:5" x14ac:dyDescent="0.2">
      <c r="A98" s="4">
        <v>45433</v>
      </c>
      <c r="B98" s="3">
        <v>9.9</v>
      </c>
      <c r="C98" s="3">
        <v>9.94</v>
      </c>
      <c r="D98" s="3">
        <v>9.74</v>
      </c>
      <c r="E98" s="3">
        <v>9.75</v>
      </c>
    </row>
    <row r="99" spans="1:5" x14ac:dyDescent="0.2">
      <c r="A99" s="4">
        <v>45434</v>
      </c>
      <c r="B99" s="3">
        <v>9.8800000000000008</v>
      </c>
      <c r="C99" s="3">
        <v>9.98</v>
      </c>
      <c r="D99" s="3">
        <v>9.84</v>
      </c>
      <c r="E99" s="3">
        <v>9.8800000000000008</v>
      </c>
    </row>
    <row r="100" spans="1:5" x14ac:dyDescent="0.2">
      <c r="A100" s="4">
        <v>45435</v>
      </c>
      <c r="B100" s="3">
        <v>10.02</v>
      </c>
      <c r="C100" s="3">
        <v>10.19</v>
      </c>
      <c r="D100" s="3">
        <v>9.9700000000000006</v>
      </c>
      <c r="E100" s="3">
        <v>10.1</v>
      </c>
    </row>
    <row r="101" spans="1:5" x14ac:dyDescent="0.2">
      <c r="A101" s="4">
        <v>45436</v>
      </c>
      <c r="B101" s="3">
        <v>10.06</v>
      </c>
      <c r="C101" s="3">
        <v>10.210000000000001</v>
      </c>
      <c r="D101" s="3">
        <v>10.050000000000001</v>
      </c>
      <c r="E101" s="3">
        <v>10.050000000000001</v>
      </c>
    </row>
    <row r="102" spans="1:5" x14ac:dyDescent="0.2">
      <c r="A102" s="4">
        <v>45439</v>
      </c>
      <c r="B102" s="3">
        <v>10.119999999999999</v>
      </c>
      <c r="C102" s="3">
        <v>10.130000000000001</v>
      </c>
      <c r="D102" s="3">
        <v>10.02</v>
      </c>
      <c r="E102" s="3">
        <v>10.06</v>
      </c>
    </row>
    <row r="103" spans="1:5" x14ac:dyDescent="0.2">
      <c r="A103" s="4">
        <v>45440</v>
      </c>
      <c r="B103" s="3">
        <v>10.050000000000001</v>
      </c>
      <c r="C103" s="3">
        <v>10.119999999999999</v>
      </c>
      <c r="D103" s="3">
        <v>10</v>
      </c>
      <c r="E103" s="3">
        <v>10.08</v>
      </c>
    </row>
    <row r="104" spans="1:5" x14ac:dyDescent="0.2">
      <c r="A104" s="4">
        <v>45441</v>
      </c>
      <c r="B104" s="3">
        <v>10.1</v>
      </c>
      <c r="C104" s="3">
        <v>10.1</v>
      </c>
      <c r="D104" s="3">
        <v>9.85</v>
      </c>
      <c r="E104" s="3">
        <v>9.9499999999999993</v>
      </c>
    </row>
    <row r="105" spans="1:5" x14ac:dyDescent="0.2">
      <c r="A105" s="4">
        <v>45442</v>
      </c>
      <c r="B105" s="3">
        <v>10</v>
      </c>
      <c r="C105" s="3">
        <v>10</v>
      </c>
      <c r="D105" s="3">
        <v>9.75</v>
      </c>
      <c r="E105" s="3">
        <v>9.7799999999999994</v>
      </c>
    </row>
    <row r="106" spans="1:5" x14ac:dyDescent="0.2">
      <c r="A106" s="4">
        <v>45443</v>
      </c>
      <c r="B106" s="3">
        <v>9.8800000000000008</v>
      </c>
      <c r="C106" s="3">
        <v>9.89</v>
      </c>
      <c r="D106" s="3">
        <v>9.75</v>
      </c>
      <c r="E106" s="3">
        <v>9.85</v>
      </c>
    </row>
    <row r="107" spans="1:5" x14ac:dyDescent="0.2">
      <c r="A107" s="4">
        <v>45446</v>
      </c>
      <c r="B107" s="3">
        <v>9.93</v>
      </c>
      <c r="C107" s="3">
        <v>10</v>
      </c>
      <c r="D107" s="3">
        <v>9.91</v>
      </c>
      <c r="E107" s="3">
        <v>9.9600000000000009</v>
      </c>
    </row>
    <row r="108" spans="1:5" x14ac:dyDescent="0.2">
      <c r="A108" s="4">
        <v>45447</v>
      </c>
      <c r="B108" s="3">
        <v>10.039999999999999</v>
      </c>
      <c r="C108" s="3">
        <v>10.17</v>
      </c>
      <c r="D108" s="3">
        <v>9.9700000000000006</v>
      </c>
      <c r="E108" s="3">
        <v>10.1</v>
      </c>
    </row>
    <row r="109" spans="1:5" x14ac:dyDescent="0.2">
      <c r="A109" s="4">
        <v>45448</v>
      </c>
      <c r="B109" s="3">
        <v>10.08</v>
      </c>
      <c r="C109" s="3">
        <v>10.4</v>
      </c>
      <c r="D109" s="3">
        <v>10.050000000000001</v>
      </c>
      <c r="E109" s="3">
        <v>10.31</v>
      </c>
    </row>
    <row r="110" spans="1:5" x14ac:dyDescent="0.2">
      <c r="A110" s="4">
        <v>45449</v>
      </c>
      <c r="B110" s="3">
        <v>10.3</v>
      </c>
      <c r="C110" s="3">
        <v>10.87</v>
      </c>
      <c r="D110" s="3">
        <v>10.3</v>
      </c>
      <c r="E110" s="3">
        <v>10.61</v>
      </c>
    </row>
    <row r="111" spans="1:5" x14ac:dyDescent="0.2">
      <c r="A111" s="4">
        <v>45450</v>
      </c>
      <c r="B111" s="3">
        <v>10.72</v>
      </c>
      <c r="C111" s="3">
        <v>10.72</v>
      </c>
      <c r="D111" s="3">
        <v>10.31</v>
      </c>
      <c r="E111" s="3">
        <v>10.35</v>
      </c>
    </row>
    <row r="112" spans="1:5" x14ac:dyDescent="0.2">
      <c r="A112" s="4">
        <v>45454</v>
      </c>
      <c r="B112" s="3">
        <v>10.199999999999999</v>
      </c>
      <c r="C112" s="3">
        <v>10.199999999999999</v>
      </c>
      <c r="D112" s="3">
        <v>9.9700000000000006</v>
      </c>
      <c r="E112" s="3">
        <v>10</v>
      </c>
    </row>
    <row r="113" spans="1:5" x14ac:dyDescent="0.2">
      <c r="A113" s="4">
        <v>45455</v>
      </c>
      <c r="B113" s="3">
        <v>10.01</v>
      </c>
      <c r="C113" s="3">
        <v>10.050000000000001</v>
      </c>
      <c r="D113" s="3">
        <v>9.92</v>
      </c>
      <c r="E113" s="3">
        <v>9.92</v>
      </c>
    </row>
    <row r="114" spans="1:5" x14ac:dyDescent="0.2">
      <c r="A114" s="4">
        <v>45456</v>
      </c>
      <c r="B114" s="3">
        <v>9.93</v>
      </c>
      <c r="C114" s="3">
        <v>9.9600000000000009</v>
      </c>
      <c r="D114" s="3">
        <v>9.86</v>
      </c>
      <c r="E114" s="3">
        <v>9.8800000000000008</v>
      </c>
    </row>
    <row r="115" spans="1:5" x14ac:dyDescent="0.2">
      <c r="A115" s="4">
        <v>45457</v>
      </c>
      <c r="B115" s="3">
        <v>9.92</v>
      </c>
      <c r="C115" s="3">
        <v>10.14</v>
      </c>
      <c r="D115" s="3">
        <v>9.9</v>
      </c>
      <c r="E115" s="3">
        <v>10.06</v>
      </c>
    </row>
    <row r="116" spans="1:5" x14ac:dyDescent="0.2">
      <c r="A116" s="4">
        <v>45460</v>
      </c>
      <c r="B116" s="3">
        <v>0</v>
      </c>
      <c r="C116" s="3">
        <v>0</v>
      </c>
      <c r="D116" s="3">
        <v>0</v>
      </c>
      <c r="E116" s="3">
        <v>10.06</v>
      </c>
    </row>
    <row r="117" spans="1:5" x14ac:dyDescent="0.2">
      <c r="A117" s="4">
        <v>45461</v>
      </c>
      <c r="B117" s="3">
        <v>9.99</v>
      </c>
      <c r="C117" s="3">
        <v>10.59</v>
      </c>
      <c r="D117" s="3">
        <v>9.98</v>
      </c>
      <c r="E117" s="3">
        <v>10.55</v>
      </c>
    </row>
    <row r="118" spans="1:5" x14ac:dyDescent="0.2">
      <c r="A118" s="4">
        <v>45462</v>
      </c>
      <c r="B118" s="3">
        <v>10.47</v>
      </c>
      <c r="C118" s="3">
        <v>10.47</v>
      </c>
      <c r="D118" s="3">
        <v>10.215</v>
      </c>
      <c r="E118" s="3">
        <v>10.25</v>
      </c>
    </row>
    <row r="119" spans="1:5" x14ac:dyDescent="0.2">
      <c r="A119" s="4">
        <v>45463</v>
      </c>
      <c r="B119" s="3">
        <v>10.199999999999999</v>
      </c>
      <c r="C119" s="3">
        <v>10.33</v>
      </c>
      <c r="D119" s="3">
        <v>10.07</v>
      </c>
      <c r="E119" s="3">
        <v>10.26</v>
      </c>
    </row>
    <row r="120" spans="1:5" x14ac:dyDescent="0.2">
      <c r="A120" s="4">
        <v>45464</v>
      </c>
      <c r="B120" s="3">
        <v>10.26</v>
      </c>
      <c r="C120" s="3">
        <v>10.3</v>
      </c>
      <c r="D120" s="3">
        <v>9.9700000000000006</v>
      </c>
      <c r="E120" s="3">
        <v>10.029999999999999</v>
      </c>
    </row>
    <row r="121" spans="1:5" x14ac:dyDescent="0.2">
      <c r="A121" s="4">
        <v>45467</v>
      </c>
      <c r="B121" s="3">
        <v>10.1</v>
      </c>
      <c r="C121" s="3">
        <v>10.14</v>
      </c>
      <c r="D121" s="3">
        <v>9.93</v>
      </c>
      <c r="E121" s="3">
        <v>10.07</v>
      </c>
    </row>
    <row r="122" spans="1:5" x14ac:dyDescent="0.2">
      <c r="A122" s="4">
        <v>45468</v>
      </c>
      <c r="B122" s="3">
        <v>10.11</v>
      </c>
      <c r="C122" s="3">
        <v>10.18</v>
      </c>
      <c r="D122" s="3">
        <v>10.029999999999999</v>
      </c>
      <c r="E122" s="3">
        <v>10.11</v>
      </c>
    </row>
    <row r="123" spans="1:5" x14ac:dyDescent="0.2">
      <c r="A123" s="4">
        <v>45469</v>
      </c>
      <c r="B123" s="3">
        <v>10.130000000000001</v>
      </c>
      <c r="C123" s="3">
        <v>10.25</v>
      </c>
      <c r="D123" s="3">
        <v>10.07</v>
      </c>
      <c r="E123" s="3">
        <v>10.220000000000001</v>
      </c>
    </row>
    <row r="124" spans="1:5" x14ac:dyDescent="0.2">
      <c r="A124" s="4">
        <v>45470</v>
      </c>
      <c r="B124" s="3">
        <v>10.17</v>
      </c>
      <c r="C124" s="3">
        <v>10.23</v>
      </c>
      <c r="D124" s="3">
        <v>10.029999999999999</v>
      </c>
      <c r="E124" s="3">
        <v>10.18</v>
      </c>
    </row>
    <row r="125" spans="1:5" x14ac:dyDescent="0.2">
      <c r="A125" s="4">
        <v>45471</v>
      </c>
      <c r="B125" s="3">
        <v>10.199999999999999</v>
      </c>
      <c r="C125" s="3">
        <v>10.34</v>
      </c>
      <c r="D125" s="3">
        <v>10.130000000000001</v>
      </c>
      <c r="E125" s="3">
        <v>10.34</v>
      </c>
    </row>
    <row r="126" spans="1:5" x14ac:dyDescent="0.2">
      <c r="A126" s="4">
        <v>45474</v>
      </c>
      <c r="B126" s="3">
        <v>10.5</v>
      </c>
      <c r="C126" s="3">
        <v>10.5</v>
      </c>
      <c r="D126" s="3">
        <v>10.09</v>
      </c>
      <c r="E126" s="3">
        <v>10.18</v>
      </c>
    </row>
    <row r="127" spans="1:5" x14ac:dyDescent="0.2">
      <c r="A127" s="4">
        <v>45475</v>
      </c>
      <c r="B127" s="3">
        <v>10.18</v>
      </c>
      <c r="C127" s="3">
        <v>10.210000000000001</v>
      </c>
      <c r="D127" s="3">
        <v>10.065</v>
      </c>
      <c r="E127" s="3">
        <v>10.19</v>
      </c>
    </row>
    <row r="128" spans="1:5" x14ac:dyDescent="0.2">
      <c r="A128" s="4">
        <v>45476</v>
      </c>
      <c r="B128" s="3">
        <v>10.25</v>
      </c>
      <c r="C128" s="3">
        <v>10.25</v>
      </c>
      <c r="D128" s="3">
        <v>10.119999999999999</v>
      </c>
      <c r="E128" s="3">
        <v>10.210000000000001</v>
      </c>
    </row>
    <row r="129" spans="1:5" x14ac:dyDescent="0.2">
      <c r="A129" s="4">
        <v>45477</v>
      </c>
      <c r="B129" s="3">
        <v>10.3</v>
      </c>
      <c r="C129" s="3">
        <v>10.3</v>
      </c>
      <c r="D129" s="3">
        <v>10.039999999999999</v>
      </c>
      <c r="E129" s="3">
        <v>10.1</v>
      </c>
    </row>
    <row r="130" spans="1:5" x14ac:dyDescent="0.2">
      <c r="A130" s="4">
        <v>45478</v>
      </c>
      <c r="B130" s="3">
        <v>10.220000000000001</v>
      </c>
      <c r="C130" s="3">
        <v>10.220000000000001</v>
      </c>
      <c r="D130" s="3">
        <v>10.050000000000001</v>
      </c>
      <c r="E130" s="3">
        <v>10.11</v>
      </c>
    </row>
    <row r="131" spans="1:5" x14ac:dyDescent="0.2">
      <c r="A131" s="4">
        <v>45481</v>
      </c>
      <c r="B131" s="3">
        <v>10.15</v>
      </c>
      <c r="C131" s="3">
        <v>10.33</v>
      </c>
      <c r="D131" s="3">
        <v>10.050000000000001</v>
      </c>
      <c r="E131" s="3">
        <v>10.32</v>
      </c>
    </row>
    <row r="132" spans="1:5" x14ac:dyDescent="0.2">
      <c r="A132" s="4">
        <v>45482</v>
      </c>
      <c r="B132" s="3">
        <v>10.27</v>
      </c>
      <c r="C132" s="3">
        <v>10.27</v>
      </c>
      <c r="D132" s="3">
        <v>10.130000000000001</v>
      </c>
      <c r="E132" s="3">
        <v>10.130000000000001</v>
      </c>
    </row>
    <row r="133" spans="1:5" x14ac:dyDescent="0.2">
      <c r="A133" s="4">
        <v>45483</v>
      </c>
      <c r="B133" s="3">
        <v>10.18</v>
      </c>
      <c r="C133" s="3">
        <v>10.18</v>
      </c>
      <c r="D133" s="3">
        <v>10.050000000000001</v>
      </c>
      <c r="E133" s="3">
        <v>10.06</v>
      </c>
    </row>
    <row r="134" spans="1:5" x14ac:dyDescent="0.2">
      <c r="A134" s="4">
        <v>45484</v>
      </c>
      <c r="B134" s="3">
        <v>10.130000000000001</v>
      </c>
      <c r="C134" s="3">
        <v>10.130000000000001</v>
      </c>
      <c r="D134" s="3">
        <v>10.039999999999999</v>
      </c>
      <c r="E134" s="3">
        <v>10.08</v>
      </c>
    </row>
    <row r="135" spans="1:5" x14ac:dyDescent="0.2">
      <c r="A135" s="4">
        <v>45485</v>
      </c>
      <c r="B135" s="3">
        <v>10.08</v>
      </c>
      <c r="C135" s="3">
        <v>10.08</v>
      </c>
      <c r="D135" s="3">
        <v>9.85</v>
      </c>
      <c r="E135" s="3">
        <v>9.8800000000000008</v>
      </c>
    </row>
    <row r="136" spans="1:5" x14ac:dyDescent="0.2">
      <c r="A136" s="4">
        <v>45488</v>
      </c>
      <c r="B136" s="3">
        <v>9.8800000000000008</v>
      </c>
      <c r="C136" s="3">
        <v>9.8800000000000008</v>
      </c>
      <c r="D136" s="3">
        <v>9.65</v>
      </c>
      <c r="E136" s="3">
        <v>9.69</v>
      </c>
    </row>
    <row r="137" spans="1:5" x14ac:dyDescent="0.2">
      <c r="A137" s="4">
        <v>45489</v>
      </c>
      <c r="B137" s="3">
        <v>9.6999999999999993</v>
      </c>
      <c r="C137" s="3">
        <v>9.6999999999999993</v>
      </c>
      <c r="D137" s="3">
        <v>9.5399999999999991</v>
      </c>
      <c r="E137" s="3">
        <v>9.56</v>
      </c>
    </row>
    <row r="138" spans="1:5" x14ac:dyDescent="0.2">
      <c r="A138" s="4">
        <v>45490</v>
      </c>
      <c r="B138" s="3">
        <v>9.69</v>
      </c>
      <c r="C138" s="3">
        <v>9.9</v>
      </c>
      <c r="D138" s="3">
        <v>9.68</v>
      </c>
      <c r="E138" s="3">
        <v>9.73</v>
      </c>
    </row>
    <row r="139" spans="1:5" x14ac:dyDescent="0.2">
      <c r="A139" s="4">
        <v>45491</v>
      </c>
      <c r="B139" s="3">
        <v>9.83</v>
      </c>
      <c r="C139" s="3">
        <v>9.86</v>
      </c>
      <c r="D139" s="3">
        <v>9.7100000000000009</v>
      </c>
      <c r="E139" s="3">
        <v>9.86</v>
      </c>
    </row>
    <row r="140" spans="1:5" x14ac:dyDescent="0.2">
      <c r="A140" s="4">
        <v>45492</v>
      </c>
      <c r="B140" s="3">
        <v>9.8699999999999992</v>
      </c>
      <c r="C140" s="3">
        <v>9.8699999999999992</v>
      </c>
      <c r="D140" s="3">
        <v>9.67</v>
      </c>
      <c r="E140" s="3">
        <v>9.74</v>
      </c>
    </row>
    <row r="141" spans="1:5" x14ac:dyDescent="0.2">
      <c r="A141" s="4">
        <v>45495</v>
      </c>
      <c r="B141" s="3">
        <v>9.7200000000000006</v>
      </c>
      <c r="C141" s="3">
        <v>9.7899999999999991</v>
      </c>
      <c r="D141" s="3">
        <v>9.69</v>
      </c>
      <c r="E141" s="3">
        <v>9.6999999999999993</v>
      </c>
    </row>
    <row r="142" spans="1:5" x14ac:dyDescent="0.2">
      <c r="A142" s="4">
        <v>45496</v>
      </c>
      <c r="B142" s="3">
        <v>9.73</v>
      </c>
      <c r="C142" s="3">
        <v>9.84</v>
      </c>
      <c r="D142" s="3">
        <v>9.69</v>
      </c>
      <c r="E142" s="3">
        <v>9.81</v>
      </c>
    </row>
    <row r="143" spans="1:5" x14ac:dyDescent="0.2">
      <c r="A143" s="4">
        <v>45497</v>
      </c>
      <c r="B143" s="3">
        <v>9.8000000000000007</v>
      </c>
      <c r="C143" s="3">
        <v>10</v>
      </c>
      <c r="D143" s="3">
        <v>9.76</v>
      </c>
      <c r="E143" s="3">
        <v>10</v>
      </c>
    </row>
    <row r="144" spans="1:5" x14ac:dyDescent="0.2">
      <c r="A144" s="4">
        <v>45498</v>
      </c>
      <c r="B144" s="3">
        <v>9.91</v>
      </c>
      <c r="C144" s="3">
        <v>9.9499999999999993</v>
      </c>
      <c r="D144" s="3">
        <v>9.85</v>
      </c>
      <c r="E144" s="3">
        <v>9.85</v>
      </c>
    </row>
    <row r="145" spans="1:5" x14ac:dyDescent="0.2">
      <c r="A145" s="4">
        <v>45499</v>
      </c>
      <c r="B145" s="3">
        <v>9.9</v>
      </c>
      <c r="C145" s="3">
        <v>9.9</v>
      </c>
      <c r="D145" s="3">
        <v>9.7100000000000009</v>
      </c>
      <c r="E145" s="3">
        <v>9.7200000000000006</v>
      </c>
    </row>
    <row r="146" spans="1:5" x14ac:dyDescent="0.2">
      <c r="A146" s="4">
        <v>45502</v>
      </c>
      <c r="B146" s="3">
        <v>9.7799999999999994</v>
      </c>
      <c r="C146" s="3">
        <v>9.7899999999999991</v>
      </c>
      <c r="D146" s="3">
        <v>9.7200000000000006</v>
      </c>
      <c r="E146" s="3">
        <v>9.76</v>
      </c>
    </row>
    <row r="147" spans="1:5" x14ac:dyDescent="0.2">
      <c r="A147" s="4">
        <v>45503</v>
      </c>
      <c r="B147" s="3">
        <v>9.92</v>
      </c>
      <c r="C147" s="3">
        <v>9.92</v>
      </c>
      <c r="D147" s="3">
        <v>9.69</v>
      </c>
      <c r="E147" s="3">
        <v>9.76</v>
      </c>
    </row>
    <row r="148" spans="1:5" x14ac:dyDescent="0.2">
      <c r="A148" s="4">
        <v>45504</v>
      </c>
      <c r="B148" s="3">
        <v>9.8699999999999992</v>
      </c>
      <c r="C148" s="3">
        <v>9.8800000000000008</v>
      </c>
      <c r="D148" s="3">
        <v>9.7899999999999991</v>
      </c>
      <c r="E148" s="3">
        <v>9.82</v>
      </c>
    </row>
    <row r="149" spans="1:5" x14ac:dyDescent="0.2">
      <c r="A149" s="4">
        <v>45505</v>
      </c>
      <c r="B149" s="3">
        <v>9.89</v>
      </c>
      <c r="C149" s="3">
        <v>9.89</v>
      </c>
      <c r="D149" s="3">
        <v>9.76</v>
      </c>
      <c r="E149" s="3">
        <v>9.85</v>
      </c>
    </row>
    <row r="150" spans="1:5" x14ac:dyDescent="0.2">
      <c r="A150" s="4">
        <v>45506</v>
      </c>
      <c r="B150" s="3">
        <v>9.85</v>
      </c>
      <c r="C150" s="3">
        <v>9.9</v>
      </c>
      <c r="D150" s="3">
        <v>9.7100000000000009</v>
      </c>
      <c r="E150" s="3">
        <v>9.9</v>
      </c>
    </row>
    <row r="151" spans="1:5" x14ac:dyDescent="0.2">
      <c r="A151" s="4">
        <v>45509</v>
      </c>
      <c r="B151" s="3">
        <v>9.83</v>
      </c>
      <c r="C151" s="3">
        <v>9.83</v>
      </c>
      <c r="D151" s="3">
        <v>9.48</v>
      </c>
      <c r="E151" s="3">
        <v>9.5399999999999991</v>
      </c>
    </row>
    <row r="152" spans="1:5" x14ac:dyDescent="0.2">
      <c r="A152" s="4">
        <v>45510</v>
      </c>
      <c r="B152" s="3">
        <v>9.5399999999999991</v>
      </c>
      <c r="C152" s="3">
        <v>9.6199999999999992</v>
      </c>
      <c r="D152" s="3">
        <v>9.51</v>
      </c>
      <c r="E152" s="3">
        <v>9.5500000000000007</v>
      </c>
    </row>
    <row r="153" spans="1:5" x14ac:dyDescent="0.2">
      <c r="A153" s="4">
        <v>45511</v>
      </c>
      <c r="B153" s="3">
        <v>9.65</v>
      </c>
      <c r="C153" s="3">
        <v>9.74</v>
      </c>
      <c r="D153" s="3">
        <v>9.58</v>
      </c>
      <c r="E153" s="3">
        <v>9.7200000000000006</v>
      </c>
    </row>
    <row r="154" spans="1:5" x14ac:dyDescent="0.2">
      <c r="A154" s="4">
        <v>45512</v>
      </c>
      <c r="B154" s="3">
        <v>9.66</v>
      </c>
      <c r="C154" s="3">
        <v>9.7899999999999991</v>
      </c>
      <c r="D154" s="3">
        <v>9.6</v>
      </c>
      <c r="E154" s="3">
        <v>9.7200000000000006</v>
      </c>
    </row>
    <row r="155" spans="1:5" x14ac:dyDescent="0.2">
      <c r="A155" s="4">
        <v>45513</v>
      </c>
      <c r="B155" s="3">
        <v>9.76</v>
      </c>
      <c r="C155" s="3">
        <v>9.7899999999999991</v>
      </c>
      <c r="D155" s="3">
        <v>9.6349999999999998</v>
      </c>
      <c r="E155" s="3">
        <v>9.77</v>
      </c>
    </row>
    <row r="156" spans="1:5" x14ac:dyDescent="0.2">
      <c r="A156" s="4">
        <v>45516</v>
      </c>
      <c r="B156" s="3">
        <v>9.7899999999999991</v>
      </c>
      <c r="C156" s="3">
        <v>9.7899999999999991</v>
      </c>
      <c r="D156" s="3">
        <v>9.6199999999999992</v>
      </c>
      <c r="E156" s="3">
        <v>9.65</v>
      </c>
    </row>
    <row r="157" spans="1:5" x14ac:dyDescent="0.2">
      <c r="A157" s="4">
        <v>45517</v>
      </c>
      <c r="B157" s="3">
        <v>9.7100000000000009</v>
      </c>
      <c r="C157" s="3">
        <v>9.73</v>
      </c>
      <c r="D157" s="3">
        <v>9.61</v>
      </c>
      <c r="E157" s="3">
        <v>9.68</v>
      </c>
    </row>
    <row r="158" spans="1:5" x14ac:dyDescent="0.2">
      <c r="A158" s="4">
        <v>45518</v>
      </c>
      <c r="B158" s="3">
        <v>9.6999999999999993</v>
      </c>
      <c r="C158" s="3">
        <v>9.75</v>
      </c>
      <c r="D158" s="3">
        <v>9.59</v>
      </c>
      <c r="E158" s="3">
        <v>9.59</v>
      </c>
    </row>
    <row r="159" spans="1:5" x14ac:dyDescent="0.2">
      <c r="A159" s="4">
        <v>45519</v>
      </c>
      <c r="B159" s="3">
        <v>9.6</v>
      </c>
      <c r="C159" s="3">
        <v>9.81</v>
      </c>
      <c r="D159" s="3">
        <v>9.57</v>
      </c>
      <c r="E159" s="3">
        <v>9.81</v>
      </c>
    </row>
    <row r="160" spans="1:5" x14ac:dyDescent="0.2">
      <c r="A160" s="4">
        <v>45520</v>
      </c>
      <c r="B160" s="3">
        <v>9.75</v>
      </c>
      <c r="C160" s="3">
        <v>9.9499999999999993</v>
      </c>
      <c r="D160" s="3">
        <v>9.75</v>
      </c>
      <c r="E160" s="3">
        <v>9.92</v>
      </c>
    </row>
    <row r="161" spans="1:5" x14ac:dyDescent="0.2">
      <c r="A161" s="4">
        <v>45523</v>
      </c>
      <c r="B161" s="3">
        <v>9.86</v>
      </c>
      <c r="C161" s="3">
        <v>10.039999999999999</v>
      </c>
      <c r="D161" s="3">
        <v>9.8000000000000007</v>
      </c>
      <c r="E161" s="3">
        <v>10</v>
      </c>
    </row>
    <row r="162" spans="1:5" x14ac:dyDescent="0.2">
      <c r="A162" s="4">
        <v>45524</v>
      </c>
      <c r="B162" s="3">
        <v>10.050000000000001</v>
      </c>
      <c r="C162" s="3">
        <v>10.050000000000001</v>
      </c>
      <c r="D162" s="3">
        <v>9.9499999999999993</v>
      </c>
      <c r="E162" s="3">
        <v>10.02</v>
      </c>
    </row>
    <row r="163" spans="1:5" x14ac:dyDescent="0.2">
      <c r="A163" s="4">
        <v>45525</v>
      </c>
      <c r="B163" s="3">
        <v>9.94</v>
      </c>
      <c r="C163" s="3">
        <v>10.08</v>
      </c>
      <c r="D163" s="3">
        <v>9.93</v>
      </c>
      <c r="E163" s="3">
        <v>10.07</v>
      </c>
    </row>
    <row r="164" spans="1:5" x14ac:dyDescent="0.2">
      <c r="A164" s="4">
        <v>45526</v>
      </c>
      <c r="B164" s="3">
        <v>10.02</v>
      </c>
      <c r="C164" s="3">
        <v>10.1</v>
      </c>
      <c r="D164" s="3">
        <v>9.9600000000000009</v>
      </c>
      <c r="E164" s="3">
        <v>9.9600000000000009</v>
      </c>
    </row>
    <row r="165" spans="1:5" x14ac:dyDescent="0.2">
      <c r="A165" s="4">
        <v>45527</v>
      </c>
      <c r="B165" s="3">
        <v>9.9499999999999993</v>
      </c>
      <c r="C165" s="3">
        <v>10.14</v>
      </c>
      <c r="D165" s="3">
        <v>9.93</v>
      </c>
      <c r="E165" s="3">
        <v>10.14</v>
      </c>
    </row>
    <row r="166" spans="1:5" x14ac:dyDescent="0.2">
      <c r="A166" s="4">
        <v>45530</v>
      </c>
      <c r="B166" s="3">
        <v>10.19</v>
      </c>
      <c r="C166" s="3">
        <v>10.26</v>
      </c>
      <c r="D166" s="3">
        <v>10.029999999999999</v>
      </c>
      <c r="E166" s="3">
        <v>10.029999999999999</v>
      </c>
    </row>
    <row r="167" spans="1:5" x14ac:dyDescent="0.2">
      <c r="A167" s="4">
        <v>45531</v>
      </c>
      <c r="B167" s="3">
        <v>10.050000000000001</v>
      </c>
      <c r="C167" s="3">
        <v>10.06</v>
      </c>
      <c r="D167" s="3">
        <v>9.98</v>
      </c>
      <c r="E167" s="3">
        <v>10.02</v>
      </c>
    </row>
    <row r="168" spans="1:5" x14ac:dyDescent="0.2">
      <c r="A168" s="4">
        <v>45532</v>
      </c>
      <c r="B168" s="3">
        <v>10.050000000000001</v>
      </c>
      <c r="C168" s="3">
        <v>10.15</v>
      </c>
      <c r="D168" s="3">
        <v>9.9749999999999996</v>
      </c>
      <c r="E168" s="3">
        <v>10.07</v>
      </c>
    </row>
    <row r="169" spans="1:5" x14ac:dyDescent="0.2">
      <c r="A169" s="4">
        <v>45533</v>
      </c>
      <c r="B169" s="3">
        <v>10.01</v>
      </c>
      <c r="C169" s="3">
        <v>10.09</v>
      </c>
      <c r="D169" s="3">
        <v>9.99</v>
      </c>
      <c r="E169" s="3">
        <v>10.01</v>
      </c>
    </row>
    <row r="170" spans="1:5" x14ac:dyDescent="0.2">
      <c r="A170" s="4">
        <v>45534</v>
      </c>
      <c r="B170" s="3">
        <v>10.1</v>
      </c>
      <c r="C170" s="3">
        <v>10.210000000000001</v>
      </c>
      <c r="D170" s="3">
        <v>10.08</v>
      </c>
      <c r="E170" s="3">
        <v>10.14</v>
      </c>
    </row>
    <row r="171" spans="1:5" x14ac:dyDescent="0.2">
      <c r="A171" s="4">
        <v>45537</v>
      </c>
      <c r="B171" s="3">
        <v>10.17</v>
      </c>
      <c r="C171" s="3">
        <v>10.33</v>
      </c>
      <c r="D171" s="3">
        <v>10.119999999999999</v>
      </c>
      <c r="E171" s="3">
        <v>10.28</v>
      </c>
    </row>
    <row r="172" spans="1:5" x14ac:dyDescent="0.2">
      <c r="A172" s="4">
        <v>45538</v>
      </c>
      <c r="B172" s="3">
        <v>10.050000000000001</v>
      </c>
      <c r="C172" s="3">
        <v>10.3</v>
      </c>
      <c r="D172" s="3">
        <v>10.050000000000001</v>
      </c>
      <c r="E172" s="3">
        <v>10.27</v>
      </c>
    </row>
    <row r="173" spans="1:5" x14ac:dyDescent="0.2">
      <c r="A173" s="4">
        <v>45539</v>
      </c>
      <c r="B173" s="3">
        <v>10.29</v>
      </c>
      <c r="C173" s="3">
        <v>10.56</v>
      </c>
      <c r="D173" s="3">
        <v>10.27</v>
      </c>
      <c r="E173" s="3">
        <v>10.5</v>
      </c>
    </row>
    <row r="174" spans="1:5" x14ac:dyDescent="0.2">
      <c r="A174" s="4">
        <v>45540</v>
      </c>
      <c r="B174" s="3">
        <v>10.6</v>
      </c>
      <c r="C174" s="3">
        <v>11.12</v>
      </c>
      <c r="D174" s="3">
        <v>10.565</v>
      </c>
      <c r="E174" s="3">
        <v>10.9</v>
      </c>
    </row>
    <row r="175" spans="1:5" x14ac:dyDescent="0.2">
      <c r="A175" s="4">
        <v>45541</v>
      </c>
      <c r="B175" s="3">
        <v>10.91</v>
      </c>
      <c r="C175" s="3">
        <v>11.13</v>
      </c>
      <c r="D175" s="3">
        <v>10.81</v>
      </c>
      <c r="E175" s="3">
        <v>11.08</v>
      </c>
    </row>
    <row r="176" spans="1:5" x14ac:dyDescent="0.2">
      <c r="A176" s="4">
        <v>45544</v>
      </c>
      <c r="B176" s="3">
        <v>10.98</v>
      </c>
      <c r="C176" s="3">
        <v>11.24</v>
      </c>
      <c r="D176" s="3">
        <v>10.95</v>
      </c>
      <c r="E176" s="3">
        <v>11.1</v>
      </c>
    </row>
    <row r="177" spans="1:5" x14ac:dyDescent="0.2">
      <c r="A177" s="4">
        <v>45545</v>
      </c>
      <c r="B177" s="3">
        <v>11.2</v>
      </c>
      <c r="C177" s="3">
        <v>11.29</v>
      </c>
      <c r="D177" s="3">
        <v>11.06</v>
      </c>
      <c r="E177" s="3">
        <v>11.08</v>
      </c>
    </row>
    <row r="178" spans="1:5" x14ac:dyDescent="0.2">
      <c r="A178" s="4">
        <v>45546</v>
      </c>
      <c r="B178" s="3">
        <v>11.2</v>
      </c>
      <c r="C178" s="3">
        <v>11.33</v>
      </c>
      <c r="D178" s="3">
        <v>11.16</v>
      </c>
      <c r="E178" s="3">
        <v>11.26</v>
      </c>
    </row>
    <row r="179" spans="1:5" x14ac:dyDescent="0.2">
      <c r="A179" s="4">
        <v>45547</v>
      </c>
      <c r="B179" s="3">
        <v>11.36</v>
      </c>
      <c r="C179" s="3">
        <v>11.52</v>
      </c>
      <c r="D179" s="3">
        <v>11.26</v>
      </c>
      <c r="E179" s="3">
        <v>11.4</v>
      </c>
    </row>
    <row r="180" spans="1:5" x14ac:dyDescent="0.2">
      <c r="A180" s="4">
        <v>45548</v>
      </c>
      <c r="B180" s="3">
        <v>11.42</v>
      </c>
      <c r="C180" s="3">
        <v>11.45</v>
      </c>
      <c r="D180" s="3">
        <v>11.22</v>
      </c>
      <c r="E180" s="3">
        <v>11.26</v>
      </c>
    </row>
    <row r="181" spans="1:5" x14ac:dyDescent="0.2">
      <c r="A181" s="4">
        <v>45551</v>
      </c>
      <c r="B181" s="3">
        <v>11.4</v>
      </c>
      <c r="C181" s="3">
        <v>11.52</v>
      </c>
      <c r="D181" s="3">
        <v>11.11</v>
      </c>
      <c r="E181" s="3">
        <v>11.11</v>
      </c>
    </row>
    <row r="182" spans="1:5" x14ac:dyDescent="0.2">
      <c r="A182" s="4">
        <v>45552</v>
      </c>
      <c r="B182" s="3">
        <v>11.1</v>
      </c>
      <c r="C182" s="3">
        <v>11.37</v>
      </c>
      <c r="D182" s="3">
        <v>11.09</v>
      </c>
      <c r="E182" s="3">
        <v>11.24</v>
      </c>
    </row>
    <row r="183" spans="1:5" x14ac:dyDescent="0.2">
      <c r="A183" s="4">
        <v>45553</v>
      </c>
      <c r="B183" s="3">
        <v>11.66</v>
      </c>
      <c r="C183" s="3">
        <v>11.7</v>
      </c>
      <c r="D183" s="3">
        <v>11.15</v>
      </c>
      <c r="E183" s="3">
        <v>11.15</v>
      </c>
    </row>
    <row r="184" spans="1:5" x14ac:dyDescent="0.2">
      <c r="A184" s="4">
        <v>45554</v>
      </c>
      <c r="B184" s="3">
        <v>11.4</v>
      </c>
      <c r="C184" s="3">
        <v>11.41</v>
      </c>
      <c r="D184" s="3">
        <v>11.18</v>
      </c>
      <c r="E184" s="3">
        <v>11.39</v>
      </c>
    </row>
    <row r="185" spans="1:5" x14ac:dyDescent="0.2">
      <c r="A185" s="4">
        <v>45555</v>
      </c>
      <c r="B185" s="3">
        <v>11.43</v>
      </c>
      <c r="C185" s="3">
        <v>11.65</v>
      </c>
      <c r="D185" s="3">
        <v>11.2</v>
      </c>
      <c r="E185" s="3">
        <v>11.27</v>
      </c>
    </row>
    <row r="186" spans="1:5" x14ac:dyDescent="0.2">
      <c r="A186" s="4">
        <v>45558</v>
      </c>
      <c r="B186" s="3">
        <v>11.32</v>
      </c>
      <c r="C186" s="3">
        <v>11.33</v>
      </c>
      <c r="D186" s="3">
        <v>11.17</v>
      </c>
      <c r="E186" s="3">
        <v>11.33</v>
      </c>
    </row>
    <row r="187" spans="1:5" x14ac:dyDescent="0.2">
      <c r="A187" s="4">
        <v>45559</v>
      </c>
      <c r="B187" s="3">
        <v>11.33</v>
      </c>
      <c r="C187" s="3">
        <v>11.37</v>
      </c>
      <c r="D187" s="3">
        <v>11.14</v>
      </c>
      <c r="E187" s="3">
        <v>11.17</v>
      </c>
    </row>
    <row r="188" spans="1:5" x14ac:dyDescent="0.2">
      <c r="A188" s="4">
        <v>45560</v>
      </c>
      <c r="B188" s="3">
        <v>11.17</v>
      </c>
      <c r="C188" s="3">
        <v>11.17</v>
      </c>
      <c r="D188" s="3">
        <v>11.02</v>
      </c>
      <c r="E188" s="3">
        <v>11.14</v>
      </c>
    </row>
    <row r="189" spans="1:5" x14ac:dyDescent="0.2">
      <c r="A189" s="4">
        <v>45561</v>
      </c>
      <c r="B189" s="3">
        <v>11.18</v>
      </c>
      <c r="C189" s="3">
        <v>11.35</v>
      </c>
      <c r="D189" s="3">
        <v>11.16</v>
      </c>
      <c r="E189" s="3">
        <v>11.31</v>
      </c>
    </row>
    <row r="190" spans="1:5" x14ac:dyDescent="0.2">
      <c r="A190" s="4">
        <v>45562</v>
      </c>
      <c r="B190" s="3">
        <v>11.34</v>
      </c>
      <c r="C190" s="3">
        <v>11.59</v>
      </c>
      <c r="D190" s="3">
        <v>11.34</v>
      </c>
      <c r="E190" s="3">
        <v>11.42</v>
      </c>
    </row>
    <row r="191" spans="1:5" x14ac:dyDescent="0.2">
      <c r="A191" s="4">
        <v>45565</v>
      </c>
      <c r="B191" s="3">
        <v>11.55</v>
      </c>
      <c r="C191" s="3">
        <v>11.55</v>
      </c>
      <c r="D191" s="3">
        <v>11.25</v>
      </c>
      <c r="E191" s="3">
        <v>11.41</v>
      </c>
    </row>
    <row r="192" spans="1:5" x14ac:dyDescent="0.2">
      <c r="A192" s="4">
        <v>45566</v>
      </c>
      <c r="B192" s="3">
        <v>11.45</v>
      </c>
      <c r="C192" s="3">
        <v>11.45</v>
      </c>
      <c r="D192" s="3">
        <v>11.07</v>
      </c>
      <c r="E192" s="3">
        <v>11.17</v>
      </c>
    </row>
    <row r="193" spans="1:5" x14ac:dyDescent="0.2">
      <c r="A193" s="4">
        <v>45567</v>
      </c>
      <c r="B193" s="3">
        <v>11.13</v>
      </c>
      <c r="C193" s="3">
        <v>11.23</v>
      </c>
      <c r="D193" s="3">
        <v>11.09</v>
      </c>
      <c r="E193" s="3">
        <v>11.18</v>
      </c>
    </row>
    <row r="194" spans="1:5" x14ac:dyDescent="0.2">
      <c r="A194" s="4">
        <v>45568</v>
      </c>
      <c r="B194" s="3">
        <v>11.24</v>
      </c>
      <c r="C194" s="3">
        <v>11.24</v>
      </c>
      <c r="D194" s="3">
        <v>10.96</v>
      </c>
      <c r="E194" s="3">
        <v>11.08</v>
      </c>
    </row>
    <row r="195" spans="1:5" x14ac:dyDescent="0.2">
      <c r="A195" s="4">
        <v>45569</v>
      </c>
      <c r="B195" s="3">
        <v>11.11</v>
      </c>
      <c r="C195" s="3">
        <v>11.25</v>
      </c>
      <c r="D195" s="3">
        <v>10.99</v>
      </c>
      <c r="E195" s="3">
        <v>11.08</v>
      </c>
    </row>
    <row r="196" spans="1:5" x14ac:dyDescent="0.2">
      <c r="A196" s="4">
        <v>45572</v>
      </c>
      <c r="B196" s="3">
        <v>11.16</v>
      </c>
      <c r="C196" s="3">
        <v>11.2</v>
      </c>
      <c r="D196" s="3">
        <v>11.08</v>
      </c>
      <c r="E196" s="3">
        <v>11.16</v>
      </c>
    </row>
    <row r="197" spans="1:5" x14ac:dyDescent="0.2">
      <c r="A197" s="4">
        <v>45573</v>
      </c>
      <c r="B197" s="3">
        <v>11.16</v>
      </c>
      <c r="C197" s="3">
        <v>11.16</v>
      </c>
      <c r="D197" s="3">
        <v>11</v>
      </c>
      <c r="E197" s="3">
        <v>11.04</v>
      </c>
    </row>
    <row r="198" spans="1:5" x14ac:dyDescent="0.2">
      <c r="A198" s="4">
        <v>45574</v>
      </c>
      <c r="B198" s="3">
        <v>11.04</v>
      </c>
      <c r="C198" s="3">
        <v>11.19</v>
      </c>
      <c r="D198" s="3">
        <v>11</v>
      </c>
      <c r="E198" s="3">
        <v>11.17</v>
      </c>
    </row>
    <row r="199" spans="1:5" x14ac:dyDescent="0.2">
      <c r="A199" s="4">
        <v>45575</v>
      </c>
      <c r="B199" s="3">
        <v>11.2</v>
      </c>
      <c r="C199" s="3">
        <v>11.2</v>
      </c>
      <c r="D199" s="3">
        <v>10.87</v>
      </c>
      <c r="E199" s="3">
        <v>10.9</v>
      </c>
    </row>
    <row r="200" spans="1:5" x14ac:dyDescent="0.2">
      <c r="A200" s="4">
        <v>45576</v>
      </c>
      <c r="B200" s="3">
        <v>10.91</v>
      </c>
      <c r="C200" s="3">
        <v>11.175000000000001</v>
      </c>
      <c r="D200" s="3">
        <v>10.9</v>
      </c>
      <c r="E200" s="3">
        <v>11.16</v>
      </c>
    </row>
    <row r="201" spans="1:5" x14ac:dyDescent="0.2">
      <c r="A201" s="4">
        <v>45579</v>
      </c>
      <c r="B201" s="3">
        <v>11.16</v>
      </c>
      <c r="C201" s="3">
        <v>11.18</v>
      </c>
      <c r="D201" s="3">
        <v>10.97</v>
      </c>
      <c r="E201" s="3">
        <v>11.06</v>
      </c>
    </row>
    <row r="202" spans="1:5" x14ac:dyDescent="0.2">
      <c r="A202" s="4">
        <v>45580</v>
      </c>
      <c r="B202" s="3">
        <v>11.1</v>
      </c>
      <c r="C202" s="3">
        <v>11.2</v>
      </c>
      <c r="D202" s="3">
        <v>10.97</v>
      </c>
      <c r="E202" s="3">
        <v>11.12</v>
      </c>
    </row>
    <row r="203" spans="1:5" x14ac:dyDescent="0.2">
      <c r="A203" s="4">
        <v>45581</v>
      </c>
      <c r="B203" s="3">
        <v>11.06</v>
      </c>
      <c r="C203" s="3">
        <v>11.08</v>
      </c>
      <c r="D203" s="3">
        <v>10.87</v>
      </c>
      <c r="E203" s="3">
        <v>10.89</v>
      </c>
    </row>
    <row r="204" spans="1:5" x14ac:dyDescent="0.2">
      <c r="A204" s="4">
        <v>45582</v>
      </c>
      <c r="B204" s="3">
        <v>11.15</v>
      </c>
      <c r="C204" s="3">
        <v>11.15</v>
      </c>
      <c r="D204" s="3">
        <v>10.87</v>
      </c>
      <c r="E204" s="3">
        <v>11.07</v>
      </c>
    </row>
    <row r="205" spans="1:5" x14ac:dyDescent="0.2">
      <c r="A205" s="4">
        <v>45583</v>
      </c>
      <c r="B205" s="3">
        <v>11.1</v>
      </c>
      <c r="C205" s="3">
        <v>11.13</v>
      </c>
      <c r="D205" s="3">
        <v>11</v>
      </c>
      <c r="E205" s="3">
        <v>11.12</v>
      </c>
    </row>
    <row r="206" spans="1:5" x14ac:dyDescent="0.2">
      <c r="A206" s="4">
        <v>45586</v>
      </c>
      <c r="B206" s="3">
        <v>11.12</v>
      </c>
      <c r="C206" s="3">
        <v>11.32</v>
      </c>
      <c r="D206" s="3">
        <v>11.03</v>
      </c>
      <c r="E206" s="3">
        <v>11.27</v>
      </c>
    </row>
    <row r="207" spans="1:5" x14ac:dyDescent="0.2">
      <c r="A207" s="4">
        <v>45587</v>
      </c>
      <c r="B207" s="3">
        <v>11.14</v>
      </c>
      <c r="C207" s="3">
        <v>11.53</v>
      </c>
      <c r="D207" s="3">
        <v>11.1</v>
      </c>
      <c r="E207" s="3">
        <v>11.46</v>
      </c>
    </row>
    <row r="208" spans="1:5" x14ac:dyDescent="0.2">
      <c r="A208" s="4">
        <v>45588</v>
      </c>
      <c r="B208" s="3">
        <v>11.43</v>
      </c>
      <c r="C208" s="3">
        <v>11.62</v>
      </c>
      <c r="D208" s="3">
        <v>11.35</v>
      </c>
      <c r="E208" s="3">
        <v>11.62</v>
      </c>
    </row>
    <row r="209" spans="1:5" x14ac:dyDescent="0.2">
      <c r="A209" s="4">
        <v>45589</v>
      </c>
      <c r="B209" s="3">
        <v>11.62</v>
      </c>
      <c r="C209" s="3">
        <v>12.05</v>
      </c>
      <c r="D209" s="3">
        <v>11.54</v>
      </c>
      <c r="E209" s="3">
        <v>11.78</v>
      </c>
    </row>
    <row r="210" spans="1:5" x14ac:dyDescent="0.2">
      <c r="A210" s="4">
        <v>45590</v>
      </c>
      <c r="B210" s="3">
        <v>11.86</v>
      </c>
      <c r="C210" s="3">
        <v>11.88</v>
      </c>
      <c r="D210" s="3">
        <v>11.65</v>
      </c>
      <c r="E210" s="3">
        <v>11.66</v>
      </c>
    </row>
    <row r="211" spans="1:5" x14ac:dyDescent="0.2">
      <c r="A211" s="4">
        <v>45593</v>
      </c>
      <c r="B211" s="3">
        <v>11.68</v>
      </c>
      <c r="C211" s="3">
        <v>11.98</v>
      </c>
      <c r="D211" s="3">
        <v>11.67</v>
      </c>
      <c r="E211" s="3">
        <v>11.95</v>
      </c>
    </row>
    <row r="212" spans="1:5" x14ac:dyDescent="0.2">
      <c r="A212" s="4">
        <v>45594</v>
      </c>
      <c r="B212" s="3">
        <v>12.04</v>
      </c>
      <c r="C212" s="3">
        <v>12.04</v>
      </c>
      <c r="D212" s="3">
        <v>11.85</v>
      </c>
      <c r="E212" s="3">
        <v>11.97</v>
      </c>
    </row>
    <row r="213" spans="1:5" x14ac:dyDescent="0.2">
      <c r="A213" s="4">
        <v>45595</v>
      </c>
      <c r="B213" s="3">
        <v>12</v>
      </c>
      <c r="C213" s="3">
        <v>12</v>
      </c>
      <c r="D213" s="3">
        <v>11.67</v>
      </c>
      <c r="E213" s="3">
        <v>11.67</v>
      </c>
    </row>
    <row r="214" spans="1:5" x14ac:dyDescent="0.2">
      <c r="A214" s="4">
        <v>45596</v>
      </c>
      <c r="B214" s="3">
        <v>11.7</v>
      </c>
      <c r="C214" s="3">
        <v>11.71</v>
      </c>
      <c r="D214" s="3">
        <v>11.45</v>
      </c>
      <c r="E214" s="3">
        <v>11.5</v>
      </c>
    </row>
    <row r="215" spans="1:5" x14ac:dyDescent="0.2">
      <c r="A215" s="4">
        <v>45597</v>
      </c>
      <c r="B215" s="3">
        <v>11.44</v>
      </c>
      <c r="C215" s="3">
        <v>11.615</v>
      </c>
      <c r="D215" s="3">
        <v>11.41</v>
      </c>
      <c r="E215" s="3">
        <v>11.61</v>
      </c>
    </row>
    <row r="216" spans="1:5" x14ac:dyDescent="0.2">
      <c r="A216" s="4">
        <v>45600</v>
      </c>
      <c r="B216" s="3">
        <v>11.61</v>
      </c>
      <c r="C216" s="3">
        <v>11.725</v>
      </c>
      <c r="D216" s="3">
        <v>11.41</v>
      </c>
      <c r="E216" s="3">
        <v>11.58</v>
      </c>
    </row>
    <row r="217" spans="1:5" x14ac:dyDescent="0.2">
      <c r="A217" s="4">
        <v>45601</v>
      </c>
      <c r="B217" s="3">
        <v>11.55</v>
      </c>
      <c r="C217" s="3">
        <v>11.6</v>
      </c>
      <c r="D217" s="3">
        <v>11.45</v>
      </c>
      <c r="E217" s="3">
        <v>11.46</v>
      </c>
    </row>
    <row r="218" spans="1:5" x14ac:dyDescent="0.2">
      <c r="A218" s="4">
        <v>45602</v>
      </c>
      <c r="B218" s="3">
        <v>11.7</v>
      </c>
      <c r="C218" s="3">
        <v>11.75</v>
      </c>
      <c r="D218" s="3">
        <v>11.55</v>
      </c>
      <c r="E218" s="3">
        <v>11.66</v>
      </c>
    </row>
    <row r="219" spans="1:5" x14ac:dyDescent="0.2">
      <c r="A219" s="4">
        <v>45603</v>
      </c>
      <c r="B219" s="3">
        <v>11.69</v>
      </c>
      <c r="C219" s="3">
        <v>11.69</v>
      </c>
      <c r="D219" s="3">
        <v>11.345000000000001</v>
      </c>
      <c r="E219" s="3">
        <v>11.4</v>
      </c>
    </row>
    <row r="220" spans="1:5" x14ac:dyDescent="0.2">
      <c r="A220" s="4">
        <v>45604</v>
      </c>
      <c r="B220" s="3">
        <v>11.67</v>
      </c>
      <c r="C220" s="3">
        <v>11.67</v>
      </c>
      <c r="D220" s="3">
        <v>11.3</v>
      </c>
      <c r="E220" s="3">
        <v>11.3</v>
      </c>
    </row>
    <row r="221" spans="1:5" x14ac:dyDescent="0.2">
      <c r="A221" s="4">
        <v>45607</v>
      </c>
      <c r="B221" s="3">
        <v>11.22</v>
      </c>
      <c r="C221" s="3">
        <v>11.28</v>
      </c>
      <c r="D221" s="3">
        <v>11.03</v>
      </c>
      <c r="E221" s="3">
        <v>11.04</v>
      </c>
    </row>
    <row r="222" spans="1:5" x14ac:dyDescent="0.2">
      <c r="A222" s="4">
        <v>45608</v>
      </c>
      <c r="B222" s="3">
        <v>11.24</v>
      </c>
      <c r="C222" s="3">
        <v>11.24</v>
      </c>
      <c r="D222" s="3">
        <v>10.975</v>
      </c>
      <c r="E222" s="3">
        <v>11.13</v>
      </c>
    </row>
    <row r="223" spans="1:5" x14ac:dyDescent="0.2">
      <c r="A223" s="4">
        <v>45609</v>
      </c>
      <c r="B223" s="3">
        <v>11.12</v>
      </c>
      <c r="C223" s="3">
        <v>11.28</v>
      </c>
      <c r="D223" s="3">
        <v>10.99</v>
      </c>
      <c r="E223" s="3">
        <v>11.27</v>
      </c>
    </row>
    <row r="224" spans="1:5" x14ac:dyDescent="0.2">
      <c r="A224" s="4">
        <v>45610</v>
      </c>
      <c r="B224" s="3">
        <v>11.01</v>
      </c>
      <c r="C224" s="3">
        <v>11.5</v>
      </c>
      <c r="D224" s="3">
        <v>11.01</v>
      </c>
      <c r="E224" s="3">
        <v>11.29</v>
      </c>
    </row>
    <row r="225" spans="1:5" x14ac:dyDescent="0.2">
      <c r="A225" s="4">
        <v>45611</v>
      </c>
      <c r="B225" s="3">
        <v>11.41</v>
      </c>
      <c r="C225" s="3">
        <v>11.6</v>
      </c>
      <c r="D225" s="3">
        <v>11.38</v>
      </c>
      <c r="E225" s="3">
        <v>11.41</v>
      </c>
    </row>
    <row r="226" spans="1:5" x14ac:dyDescent="0.2">
      <c r="A226" s="4">
        <v>45614</v>
      </c>
      <c r="B226" s="3">
        <v>11.41</v>
      </c>
      <c r="C226" s="3">
        <v>11.41</v>
      </c>
      <c r="D226" s="3">
        <v>11.18</v>
      </c>
      <c r="E226" s="3">
        <v>11.25</v>
      </c>
    </row>
    <row r="227" spans="1:5" x14ac:dyDescent="0.2">
      <c r="A227" s="4">
        <v>45615</v>
      </c>
      <c r="B227" s="3">
        <v>11.38</v>
      </c>
      <c r="C227" s="3">
        <v>11.38</v>
      </c>
      <c r="D227" s="3">
        <v>11</v>
      </c>
      <c r="E227" s="3">
        <v>11.01</v>
      </c>
    </row>
    <row r="228" spans="1:5" x14ac:dyDescent="0.2">
      <c r="A228" s="4">
        <v>45616</v>
      </c>
      <c r="B228" s="3">
        <v>11.05</v>
      </c>
      <c r="C228" s="3">
        <v>11.19</v>
      </c>
      <c r="D228" s="3">
        <v>10.81</v>
      </c>
      <c r="E228" s="3">
        <v>11.08</v>
      </c>
    </row>
    <row r="229" spans="1:5" x14ac:dyDescent="0.2">
      <c r="A229" s="4">
        <v>45617</v>
      </c>
      <c r="B229" s="3">
        <v>11.2</v>
      </c>
      <c r="C229" s="3">
        <v>11.28</v>
      </c>
      <c r="D229" s="3">
        <v>11.13</v>
      </c>
      <c r="E229" s="3">
        <v>11.19</v>
      </c>
    </row>
    <row r="230" spans="1:5" x14ac:dyDescent="0.2">
      <c r="A230" s="4">
        <v>45618</v>
      </c>
      <c r="B230" s="3">
        <v>11.42</v>
      </c>
      <c r="C230" s="3">
        <v>11.42</v>
      </c>
      <c r="D230" s="3">
        <v>11.02</v>
      </c>
      <c r="E230" s="3">
        <v>11.2</v>
      </c>
    </row>
    <row r="231" spans="1:5" x14ac:dyDescent="0.2">
      <c r="A231" s="4">
        <v>45621</v>
      </c>
      <c r="B231" s="3">
        <v>11.23</v>
      </c>
      <c r="C231" s="3">
        <v>11.65</v>
      </c>
      <c r="D231" s="3">
        <v>11.2</v>
      </c>
      <c r="E231" s="3">
        <v>11.42</v>
      </c>
    </row>
    <row r="232" spans="1:5" x14ac:dyDescent="0.2">
      <c r="A232" s="4">
        <v>45622</v>
      </c>
      <c r="B232" s="3">
        <v>11.4</v>
      </c>
      <c r="C232" s="3">
        <v>11.46</v>
      </c>
      <c r="D232" s="3">
        <v>11.2</v>
      </c>
      <c r="E232" s="3">
        <v>11.4</v>
      </c>
    </row>
    <row r="233" spans="1:5" x14ac:dyDescent="0.2">
      <c r="A233" s="4">
        <v>45623</v>
      </c>
      <c r="B233" s="3">
        <v>11.67</v>
      </c>
      <c r="C233" s="3">
        <v>11.7</v>
      </c>
      <c r="D233" s="3">
        <v>11.27</v>
      </c>
      <c r="E233" s="3">
        <v>11.6</v>
      </c>
    </row>
    <row r="234" spans="1:5" x14ac:dyDescent="0.2">
      <c r="A234" s="4">
        <v>45624</v>
      </c>
      <c r="B234" s="3">
        <v>11.57</v>
      </c>
      <c r="C234" s="3">
        <v>11.84</v>
      </c>
      <c r="D234" s="3">
        <v>11.57</v>
      </c>
      <c r="E234" s="3">
        <v>11.57</v>
      </c>
    </row>
    <row r="235" spans="1:5" x14ac:dyDescent="0.2">
      <c r="A235" s="4">
        <v>45625</v>
      </c>
      <c r="B235" s="3">
        <v>11.57</v>
      </c>
      <c r="C235" s="3">
        <v>11.73</v>
      </c>
      <c r="D235" s="3">
        <v>11.52</v>
      </c>
      <c r="E235" s="3">
        <v>11.63</v>
      </c>
    </row>
    <row r="236" spans="1:5" x14ac:dyDescent="0.2">
      <c r="A236" s="4">
        <v>45628</v>
      </c>
      <c r="B236" s="3">
        <v>11.75</v>
      </c>
      <c r="C236" s="3">
        <v>11.75</v>
      </c>
      <c r="D236" s="3">
        <v>11.5</v>
      </c>
      <c r="E236" s="3">
        <v>11.61</v>
      </c>
    </row>
    <row r="237" spans="1:5" x14ac:dyDescent="0.2">
      <c r="A237" s="4">
        <v>45629</v>
      </c>
      <c r="B237" s="3">
        <v>11.62</v>
      </c>
      <c r="C237" s="3">
        <v>11.64</v>
      </c>
      <c r="D237" s="3">
        <v>11.32</v>
      </c>
      <c r="E237" s="3">
        <v>11.34</v>
      </c>
    </row>
    <row r="238" spans="1:5" x14ac:dyDescent="0.2">
      <c r="A238" s="4">
        <v>45630</v>
      </c>
      <c r="B238" s="3">
        <v>11.35</v>
      </c>
      <c r="C238" s="3">
        <v>11.36</v>
      </c>
      <c r="D238" s="3">
        <v>11.2</v>
      </c>
      <c r="E238" s="3">
        <v>11.36</v>
      </c>
    </row>
    <row r="239" spans="1:5" x14ac:dyDescent="0.2">
      <c r="A239" s="4">
        <v>45631</v>
      </c>
      <c r="B239" s="3">
        <v>11.44</v>
      </c>
      <c r="C239" s="3">
        <v>11.63</v>
      </c>
      <c r="D239" s="3">
        <v>11.4</v>
      </c>
      <c r="E239" s="3">
        <v>11.58</v>
      </c>
    </row>
    <row r="240" spans="1:5" x14ac:dyDescent="0.2">
      <c r="A240" s="4">
        <v>45632</v>
      </c>
      <c r="B240" s="3">
        <v>11.58</v>
      </c>
      <c r="C240" s="3">
        <v>11.58</v>
      </c>
      <c r="D240" s="3">
        <v>11.36</v>
      </c>
      <c r="E240" s="3">
        <v>11.36</v>
      </c>
    </row>
    <row r="241" spans="1:5" x14ac:dyDescent="0.2">
      <c r="A241" s="4">
        <v>45635</v>
      </c>
      <c r="B241" s="3">
        <v>11.38</v>
      </c>
      <c r="C241" s="3">
        <v>11.6</v>
      </c>
      <c r="D241" s="3">
        <v>11.345000000000001</v>
      </c>
      <c r="E241" s="3">
        <v>11.44</v>
      </c>
    </row>
    <row r="242" spans="1:5" x14ac:dyDescent="0.2">
      <c r="A242" s="4">
        <v>45636</v>
      </c>
      <c r="B242" s="3">
        <v>11.44</v>
      </c>
      <c r="C242" s="3">
        <v>11.44</v>
      </c>
      <c r="D242" s="3">
        <v>11.03</v>
      </c>
      <c r="E242" s="3">
        <v>11.09</v>
      </c>
    </row>
    <row r="243" spans="1:5" x14ac:dyDescent="0.2">
      <c r="A243" s="4">
        <v>45637</v>
      </c>
      <c r="B243" s="3">
        <v>11.32</v>
      </c>
      <c r="C243" s="3">
        <v>11.32</v>
      </c>
      <c r="D243" s="3">
        <v>10.93</v>
      </c>
      <c r="E243" s="3">
        <v>10.93</v>
      </c>
    </row>
    <row r="244" spans="1:5" x14ac:dyDescent="0.2">
      <c r="A244" s="4">
        <v>45638</v>
      </c>
      <c r="B244" s="3">
        <v>11.17</v>
      </c>
      <c r="C244" s="3">
        <v>11.17</v>
      </c>
      <c r="D244" s="3">
        <v>10.81</v>
      </c>
      <c r="E244" s="3">
        <v>10.87</v>
      </c>
    </row>
    <row r="245" spans="1:5" x14ac:dyDescent="0.2">
      <c r="A245" s="4">
        <v>45639</v>
      </c>
      <c r="B245" s="3">
        <v>11.2</v>
      </c>
      <c r="C245" s="3">
        <v>11.2</v>
      </c>
      <c r="D245" s="3">
        <v>10.9</v>
      </c>
      <c r="E245" s="3">
        <v>10.97</v>
      </c>
    </row>
    <row r="246" spans="1:5" x14ac:dyDescent="0.2">
      <c r="A246" s="4">
        <v>45642</v>
      </c>
      <c r="B246" s="3">
        <v>11.09</v>
      </c>
      <c r="C246" s="3">
        <v>11.29</v>
      </c>
      <c r="D246" s="3">
        <v>10.94</v>
      </c>
      <c r="E246" s="3">
        <v>10.98</v>
      </c>
    </row>
    <row r="247" spans="1:5" x14ac:dyDescent="0.2">
      <c r="A247" s="4">
        <v>45643</v>
      </c>
      <c r="B247" s="3">
        <v>11.21</v>
      </c>
      <c r="C247" s="3">
        <v>11.35</v>
      </c>
      <c r="D247" s="3">
        <v>11.07</v>
      </c>
      <c r="E247" s="3">
        <v>11.3</v>
      </c>
    </row>
    <row r="248" spans="1:5" x14ac:dyDescent="0.2">
      <c r="A248" s="4">
        <v>45644</v>
      </c>
      <c r="B248" s="3">
        <v>11.27</v>
      </c>
      <c r="C248" s="3">
        <v>11.33</v>
      </c>
      <c r="D248" s="3">
        <v>11.145</v>
      </c>
      <c r="E248" s="3">
        <v>11.26</v>
      </c>
    </row>
    <row r="249" spans="1:5" x14ac:dyDescent="0.2">
      <c r="A249" s="4">
        <v>45645</v>
      </c>
      <c r="B249" s="3">
        <v>11.25</v>
      </c>
      <c r="C249" s="3">
        <v>11.25</v>
      </c>
      <c r="D249" s="3">
        <v>10.96</v>
      </c>
      <c r="E249" s="3">
        <v>10.96</v>
      </c>
    </row>
    <row r="250" spans="1:5" x14ac:dyDescent="0.2">
      <c r="A250" s="4">
        <v>45646</v>
      </c>
      <c r="B250" s="3">
        <v>11.04</v>
      </c>
      <c r="C250" s="3">
        <v>11.44</v>
      </c>
      <c r="D250" s="3">
        <v>10.99</v>
      </c>
      <c r="E250" s="3">
        <v>11.35</v>
      </c>
    </row>
    <row r="251" spans="1:5" x14ac:dyDescent="0.2">
      <c r="A251" s="4">
        <v>45649</v>
      </c>
      <c r="B251" s="3">
        <v>11.44</v>
      </c>
      <c r="C251" s="3">
        <v>11.5</v>
      </c>
      <c r="D251" s="3">
        <v>11.27</v>
      </c>
      <c r="E251" s="3">
        <v>11.39</v>
      </c>
    </row>
    <row r="252" spans="1:5" x14ac:dyDescent="0.2">
      <c r="A252" s="4">
        <v>45650</v>
      </c>
      <c r="B252" s="3">
        <v>11.45</v>
      </c>
      <c r="C252" s="3">
        <v>11.56</v>
      </c>
      <c r="D252" s="3">
        <v>11.29</v>
      </c>
      <c r="E252" s="3">
        <v>11.56</v>
      </c>
    </row>
    <row r="253" spans="1:5" x14ac:dyDescent="0.2">
      <c r="A253" s="4">
        <v>45653</v>
      </c>
      <c r="B253" s="3">
        <v>11.5</v>
      </c>
      <c r="C253" s="3">
        <v>11.57</v>
      </c>
      <c r="D253" s="3">
        <v>11.43</v>
      </c>
      <c r="E253" s="3">
        <v>11.55</v>
      </c>
    </row>
    <row r="254" spans="1:5" x14ac:dyDescent="0.2">
      <c r="A254" s="4">
        <v>45656</v>
      </c>
      <c r="B254" s="3">
        <v>11.5</v>
      </c>
      <c r="C254" s="3">
        <v>11.58</v>
      </c>
      <c r="D254" s="3">
        <v>11.38</v>
      </c>
      <c r="E254" s="3">
        <v>11.57</v>
      </c>
    </row>
    <row r="255" spans="1:5" x14ac:dyDescent="0.2">
      <c r="A255" s="4">
        <v>45657</v>
      </c>
      <c r="B255" s="3">
        <v>11.57</v>
      </c>
      <c r="C255" s="3">
        <v>11.57</v>
      </c>
      <c r="D255" s="3">
        <v>11.43</v>
      </c>
      <c r="E255" s="3">
        <v>11.57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B3E5-8735-4D2C-B48E-10CC16082BB3}">
  <dimension ref="A1:C255"/>
  <sheetViews>
    <sheetView topLeftCell="C1" workbookViewId="0">
      <selection activeCell="F35" sqref="F35"/>
    </sheetView>
  </sheetViews>
  <sheetFormatPr defaultRowHeight="12.75" x14ac:dyDescent="0.2"/>
  <cols>
    <col min="1" max="1" width="19" style="4" customWidth="1"/>
    <col min="2" max="2" width="28.42578125" style="9" customWidth="1"/>
    <col min="3" max="3" width="19" style="1" customWidth="1"/>
  </cols>
  <sheetData>
    <row r="1" spans="1:3" ht="15" x14ac:dyDescent="0.25">
      <c r="A1" s="5" t="s">
        <v>1</v>
      </c>
      <c r="B1" s="7" t="s">
        <v>7</v>
      </c>
      <c r="C1" s="2" t="s">
        <v>8</v>
      </c>
    </row>
    <row r="2" spans="1:3" x14ac:dyDescent="0.2">
      <c r="A2" s="4">
        <v>45293</v>
      </c>
      <c r="B2" s="8">
        <v>7726.23</v>
      </c>
      <c r="C2" s="3">
        <v>832567631</v>
      </c>
    </row>
    <row r="3" spans="1:3" x14ac:dyDescent="0.2">
      <c r="A3" s="4">
        <v>45294</v>
      </c>
      <c r="B3" s="8">
        <v>7742.88</v>
      </c>
      <c r="C3" s="3">
        <v>832567631</v>
      </c>
    </row>
    <row r="4" spans="1:3" x14ac:dyDescent="0.2">
      <c r="A4" s="4">
        <v>45295</v>
      </c>
      <c r="B4" s="8">
        <v>8067.58</v>
      </c>
      <c r="C4" s="3">
        <v>832567631</v>
      </c>
    </row>
    <row r="5" spans="1:3" x14ac:dyDescent="0.2">
      <c r="A5" s="4">
        <v>45296</v>
      </c>
      <c r="B5" s="8">
        <v>7776.18</v>
      </c>
      <c r="C5" s="3">
        <v>832567631</v>
      </c>
    </row>
    <row r="6" spans="1:3" x14ac:dyDescent="0.2">
      <c r="A6" s="4">
        <v>45299</v>
      </c>
      <c r="B6" s="8">
        <v>7934.37</v>
      </c>
      <c r="C6" s="3">
        <v>832567631</v>
      </c>
    </row>
    <row r="7" spans="1:3" x14ac:dyDescent="0.2">
      <c r="A7" s="4">
        <v>45300</v>
      </c>
      <c r="B7" s="8">
        <v>7917.72</v>
      </c>
      <c r="C7" s="3">
        <v>832567631</v>
      </c>
    </row>
    <row r="8" spans="1:3" x14ac:dyDescent="0.2">
      <c r="A8" s="4">
        <v>45301</v>
      </c>
      <c r="B8" s="8">
        <v>7884.42</v>
      </c>
      <c r="C8" s="3">
        <v>832567631</v>
      </c>
    </row>
    <row r="9" spans="1:3" x14ac:dyDescent="0.2">
      <c r="A9" s="4">
        <v>45302</v>
      </c>
      <c r="B9" s="8">
        <v>7926.04</v>
      </c>
      <c r="C9" s="3">
        <v>832567631</v>
      </c>
    </row>
    <row r="10" spans="1:3" x14ac:dyDescent="0.2">
      <c r="A10" s="4">
        <v>45303</v>
      </c>
      <c r="B10" s="8">
        <v>7951.02</v>
      </c>
      <c r="C10" s="3">
        <v>832567631</v>
      </c>
    </row>
    <row r="11" spans="1:3" x14ac:dyDescent="0.2">
      <c r="A11" s="4">
        <v>45306</v>
      </c>
      <c r="B11" s="8">
        <v>7867.76</v>
      </c>
      <c r="C11" s="3">
        <v>832567631</v>
      </c>
    </row>
    <row r="12" spans="1:3" x14ac:dyDescent="0.2">
      <c r="A12" s="4">
        <v>45307</v>
      </c>
      <c r="B12" s="8">
        <v>7892.74</v>
      </c>
      <c r="C12" s="3">
        <v>832567631</v>
      </c>
    </row>
    <row r="13" spans="1:3" x14ac:dyDescent="0.2">
      <c r="A13" s="4">
        <v>45308</v>
      </c>
      <c r="B13" s="8">
        <v>7792.83</v>
      </c>
      <c r="C13" s="3">
        <v>832567631</v>
      </c>
    </row>
    <row r="14" spans="1:3" x14ac:dyDescent="0.2">
      <c r="A14" s="4">
        <v>45309</v>
      </c>
      <c r="B14" s="8">
        <v>7959.35</v>
      </c>
      <c r="C14" s="3">
        <v>832567631</v>
      </c>
    </row>
    <row r="15" spans="1:3" x14ac:dyDescent="0.2">
      <c r="A15" s="4">
        <v>45310</v>
      </c>
      <c r="B15" s="8">
        <v>7826.14</v>
      </c>
      <c r="C15" s="3">
        <v>832567631</v>
      </c>
    </row>
    <row r="16" spans="1:3" x14ac:dyDescent="0.2">
      <c r="A16" s="4">
        <v>45313</v>
      </c>
      <c r="B16" s="8">
        <v>7934.37</v>
      </c>
      <c r="C16" s="3">
        <v>832567631</v>
      </c>
    </row>
    <row r="17" spans="1:3" x14ac:dyDescent="0.2">
      <c r="A17" s="4">
        <v>45314</v>
      </c>
      <c r="B17" s="8">
        <v>8034.28</v>
      </c>
      <c r="C17" s="3">
        <v>832567631</v>
      </c>
    </row>
    <row r="18" spans="1:3" x14ac:dyDescent="0.2">
      <c r="A18" s="4">
        <v>45315</v>
      </c>
      <c r="B18" s="8">
        <v>7992.65</v>
      </c>
      <c r="C18" s="3">
        <v>832567631</v>
      </c>
    </row>
    <row r="19" spans="1:3" x14ac:dyDescent="0.2">
      <c r="A19" s="4">
        <v>45316</v>
      </c>
      <c r="B19" s="8">
        <v>8025.95</v>
      </c>
      <c r="C19" s="3">
        <v>832567631</v>
      </c>
    </row>
    <row r="20" spans="1:3" x14ac:dyDescent="0.2">
      <c r="A20" s="4">
        <v>45320</v>
      </c>
      <c r="B20" s="8">
        <v>8400.61</v>
      </c>
      <c r="C20" s="3">
        <v>832567631</v>
      </c>
    </row>
    <row r="21" spans="1:3" x14ac:dyDescent="0.2">
      <c r="A21" s="4">
        <v>45321</v>
      </c>
      <c r="B21" s="8">
        <v>8300.7000000000007</v>
      </c>
      <c r="C21" s="3">
        <v>832567631</v>
      </c>
    </row>
    <row r="22" spans="1:3" x14ac:dyDescent="0.2">
      <c r="A22" s="4">
        <v>45322</v>
      </c>
      <c r="B22" s="8">
        <v>8225.77</v>
      </c>
      <c r="C22" s="3">
        <v>832567631</v>
      </c>
    </row>
    <row r="23" spans="1:3" x14ac:dyDescent="0.2">
      <c r="A23" s="4">
        <v>45323</v>
      </c>
      <c r="B23" s="8">
        <v>8284.0499999999993</v>
      </c>
      <c r="C23" s="3">
        <v>832567631</v>
      </c>
    </row>
    <row r="24" spans="1:3" x14ac:dyDescent="0.2">
      <c r="A24" s="4">
        <v>45324</v>
      </c>
      <c r="B24" s="8">
        <v>8217.44</v>
      </c>
      <c r="C24" s="3">
        <v>832567631</v>
      </c>
    </row>
    <row r="25" spans="1:3" x14ac:dyDescent="0.2">
      <c r="A25" s="4">
        <v>45327</v>
      </c>
      <c r="B25" s="8">
        <v>8259.07</v>
      </c>
      <c r="C25" s="3">
        <v>832567631</v>
      </c>
    </row>
    <row r="26" spans="1:3" x14ac:dyDescent="0.2">
      <c r="A26" s="4">
        <v>45328</v>
      </c>
      <c r="B26" s="8">
        <v>8259.07</v>
      </c>
      <c r="C26" s="3">
        <v>832567631</v>
      </c>
    </row>
    <row r="27" spans="1:3" x14ac:dyDescent="0.2">
      <c r="A27" s="4">
        <v>45329</v>
      </c>
      <c r="B27" s="8">
        <v>8267.4</v>
      </c>
      <c r="C27" s="3">
        <v>832567631</v>
      </c>
    </row>
    <row r="28" spans="1:3" x14ac:dyDescent="0.2">
      <c r="A28" s="4">
        <v>45330</v>
      </c>
      <c r="B28" s="8">
        <v>8167.49</v>
      </c>
      <c r="C28" s="3">
        <v>832567631</v>
      </c>
    </row>
    <row r="29" spans="1:3" x14ac:dyDescent="0.2">
      <c r="A29" s="4">
        <v>45331</v>
      </c>
      <c r="B29" s="8">
        <v>8417.26</v>
      </c>
      <c r="C29" s="3">
        <v>832567631</v>
      </c>
    </row>
    <row r="30" spans="1:3" x14ac:dyDescent="0.2">
      <c r="A30" s="4">
        <v>45334</v>
      </c>
      <c r="B30" s="8">
        <v>8217.44</v>
      </c>
      <c r="C30" s="3">
        <v>832567631</v>
      </c>
    </row>
    <row r="31" spans="1:3" x14ac:dyDescent="0.2">
      <c r="A31" s="4">
        <v>45335</v>
      </c>
      <c r="B31" s="8">
        <v>8142.51</v>
      </c>
      <c r="C31" s="3">
        <v>832567631</v>
      </c>
    </row>
    <row r="32" spans="1:3" x14ac:dyDescent="0.2">
      <c r="A32" s="4">
        <v>45336</v>
      </c>
      <c r="B32" s="8">
        <v>8017.63</v>
      </c>
      <c r="C32" s="3">
        <v>832567631</v>
      </c>
    </row>
    <row r="33" spans="1:3" x14ac:dyDescent="0.2">
      <c r="A33" s="4">
        <v>45337</v>
      </c>
      <c r="B33" s="8">
        <v>8017.63</v>
      </c>
      <c r="C33" s="3">
        <v>832567631</v>
      </c>
    </row>
    <row r="34" spans="1:3" x14ac:dyDescent="0.2">
      <c r="A34" s="4">
        <v>45338</v>
      </c>
      <c r="B34" s="8">
        <v>8159.16</v>
      </c>
      <c r="C34" s="3">
        <v>832567631</v>
      </c>
    </row>
    <row r="35" spans="1:3" x14ac:dyDescent="0.2">
      <c r="A35" s="4">
        <v>45341</v>
      </c>
      <c r="B35" s="8">
        <v>7951.02</v>
      </c>
      <c r="C35" s="3">
        <v>832567631</v>
      </c>
    </row>
    <row r="36" spans="1:3" x14ac:dyDescent="0.2">
      <c r="A36" s="4">
        <v>45342</v>
      </c>
      <c r="B36" s="8">
        <v>8092.56</v>
      </c>
      <c r="C36" s="3">
        <v>832567631</v>
      </c>
    </row>
    <row r="37" spans="1:3" x14ac:dyDescent="0.2">
      <c r="A37" s="4">
        <v>45343</v>
      </c>
      <c r="B37" s="8">
        <v>7909.39</v>
      </c>
      <c r="C37" s="3">
        <v>832567631</v>
      </c>
    </row>
    <row r="38" spans="1:3" x14ac:dyDescent="0.2">
      <c r="A38" s="4">
        <v>45344</v>
      </c>
      <c r="B38" s="8">
        <v>8209.1200000000008</v>
      </c>
      <c r="C38" s="3">
        <v>832567631</v>
      </c>
    </row>
    <row r="39" spans="1:3" x14ac:dyDescent="0.2">
      <c r="A39" s="4">
        <v>45345</v>
      </c>
      <c r="B39" s="8">
        <v>8050.93</v>
      </c>
      <c r="C39" s="3">
        <v>832567631</v>
      </c>
    </row>
    <row r="40" spans="1:3" x14ac:dyDescent="0.2">
      <c r="A40" s="4">
        <v>45348</v>
      </c>
      <c r="B40" s="8">
        <v>8017.63</v>
      </c>
      <c r="C40" s="3">
        <v>832567631</v>
      </c>
    </row>
    <row r="41" spans="1:3" x14ac:dyDescent="0.2">
      <c r="A41" s="4">
        <v>45349</v>
      </c>
      <c r="B41" s="8">
        <v>7926.04</v>
      </c>
      <c r="C41" s="3">
        <v>832567631</v>
      </c>
    </row>
    <row r="42" spans="1:3" x14ac:dyDescent="0.2">
      <c r="A42" s="4">
        <v>45350</v>
      </c>
      <c r="B42" s="8">
        <v>8042.6</v>
      </c>
      <c r="C42" s="3">
        <v>832567631</v>
      </c>
    </row>
    <row r="43" spans="1:3" x14ac:dyDescent="0.2">
      <c r="A43" s="4">
        <v>45351</v>
      </c>
      <c r="B43" s="8">
        <v>8092.56</v>
      </c>
      <c r="C43" s="3">
        <v>832567631</v>
      </c>
    </row>
    <row r="44" spans="1:3" x14ac:dyDescent="0.2">
      <c r="A44" s="4">
        <v>45352</v>
      </c>
      <c r="B44" s="8">
        <v>8009.3</v>
      </c>
      <c r="C44" s="3">
        <v>832567631</v>
      </c>
    </row>
    <row r="45" spans="1:3" x14ac:dyDescent="0.2">
      <c r="A45" s="4">
        <v>45355</v>
      </c>
      <c r="B45" s="8">
        <v>8084.23</v>
      </c>
      <c r="C45" s="3">
        <v>832567631</v>
      </c>
    </row>
    <row r="46" spans="1:3" x14ac:dyDescent="0.2">
      <c r="A46" s="4">
        <v>45356</v>
      </c>
      <c r="B46" s="8">
        <v>7976</v>
      </c>
      <c r="C46" s="3">
        <v>832567631</v>
      </c>
    </row>
    <row r="47" spans="1:3" x14ac:dyDescent="0.2">
      <c r="A47" s="4">
        <v>45357</v>
      </c>
      <c r="B47" s="8">
        <v>8242.42</v>
      </c>
      <c r="C47" s="3">
        <v>832567631</v>
      </c>
    </row>
    <row r="48" spans="1:3" x14ac:dyDescent="0.2">
      <c r="A48" s="4">
        <v>45358</v>
      </c>
      <c r="B48" s="8">
        <v>8167.49</v>
      </c>
      <c r="C48" s="3">
        <v>832567631</v>
      </c>
    </row>
    <row r="49" spans="1:3" x14ac:dyDescent="0.2">
      <c r="A49" s="4">
        <v>45359</v>
      </c>
      <c r="B49" s="8">
        <v>8259.07</v>
      </c>
      <c r="C49" s="3">
        <v>832567631</v>
      </c>
    </row>
    <row r="50" spans="1:3" x14ac:dyDescent="0.2">
      <c r="A50" s="4">
        <v>45362</v>
      </c>
      <c r="B50" s="8">
        <v>8292.3700000000008</v>
      </c>
      <c r="C50" s="3">
        <v>832567631</v>
      </c>
    </row>
    <row r="51" spans="1:3" x14ac:dyDescent="0.2">
      <c r="A51" s="4">
        <v>45363</v>
      </c>
      <c r="B51" s="8">
        <v>8117.53</v>
      </c>
      <c r="C51" s="3">
        <v>832567631</v>
      </c>
    </row>
    <row r="52" spans="1:3" x14ac:dyDescent="0.2">
      <c r="A52" s="4">
        <v>45364</v>
      </c>
      <c r="B52" s="8">
        <v>8300.7000000000007</v>
      </c>
      <c r="C52" s="3">
        <v>832567631</v>
      </c>
    </row>
    <row r="53" spans="1:3" x14ac:dyDescent="0.2">
      <c r="A53" s="4">
        <v>45365</v>
      </c>
      <c r="B53" s="8">
        <v>8292.3700000000008</v>
      </c>
      <c r="C53" s="3">
        <v>832567631</v>
      </c>
    </row>
    <row r="54" spans="1:3" x14ac:dyDescent="0.2">
      <c r="A54" s="4">
        <v>45366</v>
      </c>
      <c r="B54" s="8">
        <v>8084.23</v>
      </c>
      <c r="C54" s="3">
        <v>832567631</v>
      </c>
    </row>
    <row r="55" spans="1:3" x14ac:dyDescent="0.2">
      <c r="A55" s="4">
        <v>45369</v>
      </c>
      <c r="B55" s="8">
        <v>8167.49</v>
      </c>
      <c r="C55" s="3">
        <v>832567631</v>
      </c>
    </row>
    <row r="56" spans="1:3" x14ac:dyDescent="0.2">
      <c r="A56" s="4">
        <v>45370</v>
      </c>
      <c r="B56" s="8">
        <v>8117.53</v>
      </c>
      <c r="C56" s="3">
        <v>832567631</v>
      </c>
    </row>
    <row r="57" spans="1:3" x14ac:dyDescent="0.2">
      <c r="A57" s="4">
        <v>45371</v>
      </c>
      <c r="B57" s="8">
        <v>8225.77</v>
      </c>
      <c r="C57" s="3">
        <v>832567631</v>
      </c>
    </row>
    <row r="58" spans="1:3" x14ac:dyDescent="0.2">
      <c r="A58" s="4">
        <v>45372</v>
      </c>
      <c r="B58" s="8">
        <v>8134.19</v>
      </c>
      <c r="C58" s="3">
        <v>832567631</v>
      </c>
    </row>
    <row r="59" spans="1:3" x14ac:dyDescent="0.2">
      <c r="A59" s="4">
        <v>45373</v>
      </c>
      <c r="B59" s="8">
        <v>8192.4699999999993</v>
      </c>
      <c r="C59" s="3">
        <v>832567631</v>
      </c>
    </row>
    <row r="60" spans="1:3" x14ac:dyDescent="0.2">
      <c r="A60" s="4">
        <v>45376</v>
      </c>
      <c r="B60" s="8">
        <v>8200.7900000000009</v>
      </c>
      <c r="C60" s="3">
        <v>832567631</v>
      </c>
    </row>
    <row r="61" spans="1:3" x14ac:dyDescent="0.2">
      <c r="A61" s="4">
        <v>45377</v>
      </c>
      <c r="B61" s="8">
        <v>8334</v>
      </c>
      <c r="C61" s="3">
        <v>832567631</v>
      </c>
    </row>
    <row r="62" spans="1:3" x14ac:dyDescent="0.2">
      <c r="A62" s="4">
        <v>45378</v>
      </c>
      <c r="B62" s="8">
        <v>8217.44</v>
      </c>
      <c r="C62" s="3">
        <v>832567631</v>
      </c>
    </row>
    <row r="63" spans="1:3" x14ac:dyDescent="0.2">
      <c r="A63" s="4">
        <v>45379</v>
      </c>
      <c r="B63" s="8">
        <v>8259.07</v>
      </c>
      <c r="C63" s="3">
        <v>832567631</v>
      </c>
    </row>
    <row r="64" spans="1:3" x14ac:dyDescent="0.2">
      <c r="A64" s="4">
        <v>45384</v>
      </c>
      <c r="B64" s="8">
        <v>8300.7000000000007</v>
      </c>
      <c r="C64" s="3">
        <v>832567631</v>
      </c>
    </row>
    <row r="65" spans="1:3" x14ac:dyDescent="0.2">
      <c r="A65" s="4">
        <v>45385</v>
      </c>
      <c r="B65" s="8">
        <v>8300.7000000000007</v>
      </c>
      <c r="C65" s="3">
        <v>832567631</v>
      </c>
    </row>
    <row r="66" spans="1:3" x14ac:dyDescent="0.2">
      <c r="A66" s="4">
        <v>45386</v>
      </c>
      <c r="B66" s="8">
        <v>8358.98</v>
      </c>
      <c r="C66" s="3">
        <v>832567631</v>
      </c>
    </row>
    <row r="67" spans="1:3" x14ac:dyDescent="0.2">
      <c r="A67" s="4">
        <v>45387</v>
      </c>
      <c r="B67" s="8">
        <v>8309.02</v>
      </c>
      <c r="C67" s="3">
        <v>832567631</v>
      </c>
    </row>
    <row r="68" spans="1:3" x14ac:dyDescent="0.2">
      <c r="A68" s="4">
        <v>45390</v>
      </c>
      <c r="B68" s="8">
        <v>8367.2999999999993</v>
      </c>
      <c r="C68" s="3">
        <v>832567631</v>
      </c>
    </row>
    <row r="69" spans="1:3" x14ac:dyDescent="0.2">
      <c r="A69" s="4">
        <v>45391</v>
      </c>
      <c r="B69" s="8">
        <v>8300.7000000000007</v>
      </c>
      <c r="C69" s="3">
        <v>832567631</v>
      </c>
    </row>
    <row r="70" spans="1:3" x14ac:dyDescent="0.2">
      <c r="A70" s="4">
        <v>45392</v>
      </c>
      <c r="B70" s="8">
        <v>8367.2999999999993</v>
      </c>
      <c r="C70" s="3">
        <v>832567631</v>
      </c>
    </row>
    <row r="71" spans="1:3" x14ac:dyDescent="0.2">
      <c r="A71" s="4">
        <v>45393</v>
      </c>
      <c r="B71" s="8">
        <v>8492.19</v>
      </c>
      <c r="C71" s="3">
        <v>832567631</v>
      </c>
    </row>
    <row r="72" spans="1:3" x14ac:dyDescent="0.2">
      <c r="A72" s="4">
        <v>45394</v>
      </c>
      <c r="B72" s="8">
        <v>8433.91</v>
      </c>
      <c r="C72" s="3">
        <v>832567631</v>
      </c>
    </row>
    <row r="73" spans="1:3" x14ac:dyDescent="0.2">
      <c r="A73" s="4">
        <v>45397</v>
      </c>
      <c r="B73" s="8">
        <v>8309.02</v>
      </c>
      <c r="C73" s="3">
        <v>832567631</v>
      </c>
    </row>
    <row r="74" spans="1:3" x14ac:dyDescent="0.2">
      <c r="A74" s="4">
        <v>45398</v>
      </c>
      <c r="B74" s="8">
        <v>8325.68</v>
      </c>
      <c r="C74" s="3">
        <v>832567631</v>
      </c>
    </row>
    <row r="75" spans="1:3" x14ac:dyDescent="0.2">
      <c r="A75" s="4">
        <v>45399</v>
      </c>
      <c r="B75" s="8">
        <v>8458.89</v>
      </c>
      <c r="C75" s="3">
        <v>832567631</v>
      </c>
    </row>
    <row r="76" spans="1:3" x14ac:dyDescent="0.2">
      <c r="A76" s="4">
        <v>45400</v>
      </c>
      <c r="B76" s="8">
        <v>8259.07</v>
      </c>
      <c r="C76" s="3">
        <v>832567631</v>
      </c>
    </row>
    <row r="77" spans="1:3" x14ac:dyDescent="0.2">
      <c r="A77" s="4">
        <v>45401</v>
      </c>
      <c r="B77" s="8">
        <v>8317.35</v>
      </c>
      <c r="C77" s="3">
        <v>832567631</v>
      </c>
    </row>
    <row r="78" spans="1:3" x14ac:dyDescent="0.2">
      <c r="A78" s="4">
        <v>45404</v>
      </c>
      <c r="B78" s="8">
        <v>8284.0499999999993</v>
      </c>
      <c r="C78" s="3">
        <v>832567631</v>
      </c>
    </row>
    <row r="79" spans="1:3" x14ac:dyDescent="0.2">
      <c r="A79" s="4">
        <v>45405</v>
      </c>
      <c r="B79" s="8">
        <v>8267.4</v>
      </c>
      <c r="C79" s="3">
        <v>832567631</v>
      </c>
    </row>
    <row r="80" spans="1:3" x14ac:dyDescent="0.2">
      <c r="A80" s="4">
        <v>45406</v>
      </c>
      <c r="B80" s="8">
        <v>8350.65</v>
      </c>
      <c r="C80" s="3">
        <v>832567631</v>
      </c>
    </row>
    <row r="81" spans="1:3" x14ac:dyDescent="0.2">
      <c r="A81" s="4">
        <v>45408</v>
      </c>
      <c r="B81" s="8">
        <v>8259.07</v>
      </c>
      <c r="C81" s="3">
        <v>832567631</v>
      </c>
    </row>
    <row r="82" spans="1:3" x14ac:dyDescent="0.2">
      <c r="A82" s="4">
        <v>45411</v>
      </c>
      <c r="B82" s="8">
        <v>8284.0499999999993</v>
      </c>
      <c r="C82" s="3">
        <v>832567631</v>
      </c>
    </row>
    <row r="83" spans="1:3" x14ac:dyDescent="0.2">
      <c r="A83" s="4">
        <v>45412</v>
      </c>
      <c r="B83" s="8">
        <v>8325.68</v>
      </c>
      <c r="C83" s="3">
        <v>832567631</v>
      </c>
    </row>
    <row r="84" spans="1:3" x14ac:dyDescent="0.2">
      <c r="A84" s="4">
        <v>45413</v>
      </c>
      <c r="B84" s="8">
        <v>8300.7000000000007</v>
      </c>
      <c r="C84" s="3">
        <v>832567631</v>
      </c>
    </row>
    <row r="85" spans="1:3" x14ac:dyDescent="0.2">
      <c r="A85" s="4">
        <v>45414</v>
      </c>
      <c r="B85" s="8">
        <v>8342.33</v>
      </c>
      <c r="C85" s="3">
        <v>832567631</v>
      </c>
    </row>
    <row r="86" spans="1:3" x14ac:dyDescent="0.2">
      <c r="A86" s="4">
        <v>45415</v>
      </c>
      <c r="B86" s="8">
        <v>8284.0499999999993</v>
      </c>
      <c r="C86" s="3">
        <v>832567631</v>
      </c>
    </row>
    <row r="87" spans="1:3" x14ac:dyDescent="0.2">
      <c r="A87" s="4">
        <v>45418</v>
      </c>
      <c r="B87" s="8">
        <v>8059.25</v>
      </c>
      <c r="C87" s="3">
        <v>832567631</v>
      </c>
    </row>
    <row r="88" spans="1:3" x14ac:dyDescent="0.2">
      <c r="A88" s="4">
        <v>45419</v>
      </c>
      <c r="B88" s="8">
        <v>8100.88</v>
      </c>
      <c r="C88" s="3">
        <v>832567631</v>
      </c>
    </row>
    <row r="89" spans="1:3" x14ac:dyDescent="0.2">
      <c r="A89" s="4">
        <v>45420</v>
      </c>
      <c r="B89" s="8">
        <v>8234.09</v>
      </c>
      <c r="C89" s="3">
        <v>832567631</v>
      </c>
    </row>
    <row r="90" spans="1:3" x14ac:dyDescent="0.2">
      <c r="A90" s="4">
        <v>45421</v>
      </c>
      <c r="B90" s="8">
        <v>8142.51</v>
      </c>
      <c r="C90" s="3">
        <v>832567631</v>
      </c>
    </row>
    <row r="91" spans="1:3" x14ac:dyDescent="0.2">
      <c r="A91" s="4">
        <v>45422</v>
      </c>
      <c r="B91" s="8">
        <v>8084.23</v>
      </c>
      <c r="C91" s="3">
        <v>832567631</v>
      </c>
    </row>
    <row r="92" spans="1:3" x14ac:dyDescent="0.2">
      <c r="A92" s="4">
        <v>45425</v>
      </c>
      <c r="B92" s="8">
        <v>8017.63</v>
      </c>
      <c r="C92" s="3">
        <v>832567631</v>
      </c>
    </row>
    <row r="93" spans="1:3" x14ac:dyDescent="0.2">
      <c r="A93" s="4">
        <v>45426</v>
      </c>
      <c r="B93" s="8">
        <v>7892.74</v>
      </c>
      <c r="C93" s="3">
        <v>832567631</v>
      </c>
    </row>
    <row r="94" spans="1:3" x14ac:dyDescent="0.2">
      <c r="A94" s="4">
        <v>45427</v>
      </c>
      <c r="B94" s="8">
        <v>7951.02</v>
      </c>
      <c r="C94" s="3">
        <v>832567631</v>
      </c>
    </row>
    <row r="95" spans="1:3" x14ac:dyDescent="0.2">
      <c r="A95" s="4">
        <v>45428</v>
      </c>
      <c r="B95" s="8">
        <v>8192.4699999999993</v>
      </c>
      <c r="C95" s="3">
        <v>832567631</v>
      </c>
    </row>
    <row r="96" spans="1:3" x14ac:dyDescent="0.2">
      <c r="A96" s="4">
        <v>45429</v>
      </c>
      <c r="B96" s="8">
        <v>8275.7199999999993</v>
      </c>
      <c r="C96" s="3">
        <v>832567631</v>
      </c>
    </row>
    <row r="97" spans="1:3" x14ac:dyDescent="0.2">
      <c r="A97" s="4">
        <v>45432</v>
      </c>
      <c r="B97" s="8">
        <v>8617.07</v>
      </c>
      <c r="C97" s="3">
        <v>832567631</v>
      </c>
    </row>
    <row r="98" spans="1:3" x14ac:dyDescent="0.2">
      <c r="A98" s="4">
        <v>45433</v>
      </c>
      <c r="B98" s="8">
        <v>8117.53</v>
      </c>
      <c r="C98" s="3">
        <v>832567631</v>
      </c>
    </row>
    <row r="99" spans="1:3" x14ac:dyDescent="0.2">
      <c r="A99" s="4">
        <v>45434</v>
      </c>
      <c r="B99" s="8">
        <v>8225.77</v>
      </c>
      <c r="C99" s="3">
        <v>832567631</v>
      </c>
    </row>
    <row r="100" spans="1:3" x14ac:dyDescent="0.2">
      <c r="A100" s="4">
        <v>45435</v>
      </c>
      <c r="B100" s="8">
        <v>8408.93</v>
      </c>
      <c r="C100" s="3">
        <v>832567631</v>
      </c>
    </row>
    <row r="101" spans="1:3" x14ac:dyDescent="0.2">
      <c r="A101" s="4">
        <v>45436</v>
      </c>
      <c r="B101" s="8">
        <v>8367.2999999999993</v>
      </c>
      <c r="C101" s="3">
        <v>832567631</v>
      </c>
    </row>
    <row r="102" spans="1:3" x14ac:dyDescent="0.2">
      <c r="A102" s="4">
        <v>45439</v>
      </c>
      <c r="B102" s="8">
        <v>8375.6299999999992</v>
      </c>
      <c r="C102" s="3">
        <v>832567631</v>
      </c>
    </row>
    <row r="103" spans="1:3" x14ac:dyDescent="0.2">
      <c r="A103" s="4">
        <v>45440</v>
      </c>
      <c r="B103" s="8">
        <v>8439.7199999999993</v>
      </c>
      <c r="C103" s="3">
        <v>837274099</v>
      </c>
    </row>
    <row r="104" spans="1:3" x14ac:dyDescent="0.2">
      <c r="A104" s="4">
        <v>45441</v>
      </c>
      <c r="B104" s="8">
        <v>8330.8799999999992</v>
      </c>
      <c r="C104" s="3">
        <v>837274099</v>
      </c>
    </row>
    <row r="105" spans="1:3" x14ac:dyDescent="0.2">
      <c r="A105" s="4">
        <v>45442</v>
      </c>
      <c r="B105" s="8">
        <v>8188.54</v>
      </c>
      <c r="C105" s="3">
        <v>837274099</v>
      </c>
    </row>
    <row r="106" spans="1:3" x14ac:dyDescent="0.2">
      <c r="A106" s="4">
        <v>45443</v>
      </c>
      <c r="B106" s="8">
        <v>8247.15</v>
      </c>
      <c r="C106" s="3">
        <v>837274099</v>
      </c>
    </row>
    <row r="107" spans="1:3" x14ac:dyDescent="0.2">
      <c r="A107" s="4">
        <v>45446</v>
      </c>
      <c r="B107" s="8">
        <v>8339.25</v>
      </c>
      <c r="C107" s="3">
        <v>837274099</v>
      </c>
    </row>
    <row r="108" spans="1:3" x14ac:dyDescent="0.2">
      <c r="A108" s="4">
        <v>45447</v>
      </c>
      <c r="B108" s="8">
        <v>8456.4699999999993</v>
      </c>
      <c r="C108" s="3">
        <v>837274099</v>
      </c>
    </row>
    <row r="109" spans="1:3" x14ac:dyDescent="0.2">
      <c r="A109" s="4">
        <v>45448</v>
      </c>
      <c r="B109" s="8">
        <v>8632.2999999999993</v>
      </c>
      <c r="C109" s="3">
        <v>837274099</v>
      </c>
    </row>
    <row r="110" spans="1:3" x14ac:dyDescent="0.2">
      <c r="A110" s="4">
        <v>45449</v>
      </c>
      <c r="B110" s="8">
        <v>8883.48</v>
      </c>
      <c r="C110" s="3">
        <v>837274099</v>
      </c>
    </row>
    <row r="111" spans="1:3" x14ac:dyDescent="0.2">
      <c r="A111" s="4">
        <v>45450</v>
      </c>
      <c r="B111" s="8">
        <v>8665.7900000000009</v>
      </c>
      <c r="C111" s="3">
        <v>837274099</v>
      </c>
    </row>
    <row r="112" spans="1:3" x14ac:dyDescent="0.2">
      <c r="A112" s="4">
        <v>45454</v>
      </c>
      <c r="B112" s="8">
        <v>8372.74</v>
      </c>
      <c r="C112" s="3">
        <v>837274099</v>
      </c>
    </row>
    <row r="113" spans="1:3" x14ac:dyDescent="0.2">
      <c r="A113" s="4">
        <v>45455</v>
      </c>
      <c r="B113" s="8">
        <v>8305.76</v>
      </c>
      <c r="C113" s="3">
        <v>837274099</v>
      </c>
    </row>
    <row r="114" spans="1:3" x14ac:dyDescent="0.2">
      <c r="A114" s="4">
        <v>45456</v>
      </c>
      <c r="B114" s="8">
        <v>8272.27</v>
      </c>
      <c r="C114" s="3">
        <v>837274099</v>
      </c>
    </row>
    <row r="115" spans="1:3" x14ac:dyDescent="0.2">
      <c r="A115" s="4">
        <v>45457</v>
      </c>
      <c r="B115" s="8">
        <v>8422.98</v>
      </c>
      <c r="C115" s="3">
        <v>837274099</v>
      </c>
    </row>
    <row r="116" spans="1:3" x14ac:dyDescent="0.2">
      <c r="A116" s="4">
        <v>45460</v>
      </c>
      <c r="B116" s="8">
        <v>8422.98</v>
      </c>
      <c r="C116" s="3">
        <v>837274099</v>
      </c>
    </row>
    <row r="117" spans="1:3" x14ac:dyDescent="0.2">
      <c r="A117" s="4">
        <v>45461</v>
      </c>
      <c r="B117" s="8">
        <v>8833.24</v>
      </c>
      <c r="C117" s="3">
        <v>837274099</v>
      </c>
    </row>
    <row r="118" spans="1:3" x14ac:dyDescent="0.2">
      <c r="A118" s="4">
        <v>45462</v>
      </c>
      <c r="B118" s="8">
        <v>8582.06</v>
      </c>
      <c r="C118" s="3">
        <v>837274099</v>
      </c>
    </row>
    <row r="119" spans="1:3" x14ac:dyDescent="0.2">
      <c r="A119" s="4">
        <v>45463</v>
      </c>
      <c r="B119" s="8">
        <v>9601.27</v>
      </c>
      <c r="C119" s="3">
        <v>935796267</v>
      </c>
    </row>
    <row r="120" spans="1:3" x14ac:dyDescent="0.2">
      <c r="A120" s="4">
        <v>45464</v>
      </c>
      <c r="B120" s="8">
        <v>9386.0400000000009</v>
      </c>
      <c r="C120" s="3">
        <v>935796267</v>
      </c>
    </row>
    <row r="121" spans="1:3" x14ac:dyDescent="0.2">
      <c r="A121" s="4">
        <v>45467</v>
      </c>
      <c r="B121" s="8">
        <v>9423.4699999999993</v>
      </c>
      <c r="C121" s="3">
        <v>935796267</v>
      </c>
    </row>
    <row r="122" spans="1:3" x14ac:dyDescent="0.2">
      <c r="A122" s="4">
        <v>45468</v>
      </c>
      <c r="B122" s="8">
        <v>9460.9</v>
      </c>
      <c r="C122" s="3">
        <v>935796267</v>
      </c>
    </row>
    <row r="123" spans="1:3" x14ac:dyDescent="0.2">
      <c r="A123" s="4">
        <v>45469</v>
      </c>
      <c r="B123" s="8">
        <v>9601.17</v>
      </c>
      <c r="C123" s="3">
        <v>939448680</v>
      </c>
    </row>
    <row r="124" spans="1:3" x14ac:dyDescent="0.2">
      <c r="A124" s="4">
        <v>45470</v>
      </c>
      <c r="B124" s="8">
        <v>9563.59</v>
      </c>
      <c r="C124" s="3">
        <v>939448680</v>
      </c>
    </row>
    <row r="125" spans="1:3" x14ac:dyDescent="0.2">
      <c r="A125" s="4">
        <v>45471</v>
      </c>
      <c r="B125" s="8">
        <v>9713.9</v>
      </c>
      <c r="C125" s="3">
        <v>939448680</v>
      </c>
    </row>
    <row r="126" spans="1:3" x14ac:dyDescent="0.2">
      <c r="A126" s="4">
        <v>45474</v>
      </c>
      <c r="B126" s="8">
        <v>9563.59</v>
      </c>
      <c r="C126" s="3">
        <v>939448680</v>
      </c>
    </row>
    <row r="127" spans="1:3" x14ac:dyDescent="0.2">
      <c r="A127" s="4">
        <v>45475</v>
      </c>
      <c r="B127" s="8">
        <v>9572.98</v>
      </c>
      <c r="C127" s="3">
        <v>939448680</v>
      </c>
    </row>
    <row r="128" spans="1:3" x14ac:dyDescent="0.2">
      <c r="A128" s="4">
        <v>45476</v>
      </c>
      <c r="B128" s="8">
        <v>9591.77</v>
      </c>
      <c r="C128" s="3">
        <v>939448680</v>
      </c>
    </row>
    <row r="129" spans="1:3" x14ac:dyDescent="0.2">
      <c r="A129" s="4">
        <v>45477</v>
      </c>
      <c r="B129" s="8">
        <v>9488.43</v>
      </c>
      <c r="C129" s="3">
        <v>939448680</v>
      </c>
    </row>
    <row r="130" spans="1:3" x14ac:dyDescent="0.2">
      <c r="A130" s="4">
        <v>45478</v>
      </c>
      <c r="B130" s="8">
        <v>9497.83</v>
      </c>
      <c r="C130" s="3">
        <v>939448680</v>
      </c>
    </row>
    <row r="131" spans="1:3" x14ac:dyDescent="0.2">
      <c r="A131" s="4">
        <v>45481</v>
      </c>
      <c r="B131" s="8">
        <v>9695.11</v>
      </c>
      <c r="C131" s="3">
        <v>939448680</v>
      </c>
    </row>
    <row r="132" spans="1:3" x14ac:dyDescent="0.2">
      <c r="A132" s="4">
        <v>45482</v>
      </c>
      <c r="B132" s="8">
        <v>9516.6200000000008</v>
      </c>
      <c r="C132" s="3">
        <v>939448680</v>
      </c>
    </row>
    <row r="133" spans="1:3" x14ac:dyDescent="0.2">
      <c r="A133" s="4">
        <v>45483</v>
      </c>
      <c r="B133" s="8">
        <v>9450.85</v>
      </c>
      <c r="C133" s="3">
        <v>939448680</v>
      </c>
    </row>
    <row r="134" spans="1:3" x14ac:dyDescent="0.2">
      <c r="A134" s="4">
        <v>45484</v>
      </c>
      <c r="B134" s="8">
        <v>9469.64</v>
      </c>
      <c r="C134" s="3">
        <v>939448680</v>
      </c>
    </row>
    <row r="135" spans="1:3" x14ac:dyDescent="0.2">
      <c r="A135" s="4">
        <v>45485</v>
      </c>
      <c r="B135" s="8">
        <v>9281.75</v>
      </c>
      <c r="C135" s="3">
        <v>939448680</v>
      </c>
    </row>
    <row r="136" spans="1:3" x14ac:dyDescent="0.2">
      <c r="A136" s="4">
        <v>45488</v>
      </c>
      <c r="B136" s="8">
        <v>9103.26</v>
      </c>
      <c r="C136" s="3">
        <v>939448680</v>
      </c>
    </row>
    <row r="137" spans="1:3" x14ac:dyDescent="0.2">
      <c r="A137" s="4">
        <v>45489</v>
      </c>
      <c r="B137" s="8">
        <v>9240.14</v>
      </c>
      <c r="C137" s="3">
        <v>966542280</v>
      </c>
    </row>
    <row r="138" spans="1:3" x14ac:dyDescent="0.2">
      <c r="A138" s="4">
        <v>45490</v>
      </c>
      <c r="B138" s="8">
        <v>9404.4599999999991</v>
      </c>
      <c r="C138" s="3">
        <v>966542280</v>
      </c>
    </row>
    <row r="139" spans="1:3" x14ac:dyDescent="0.2">
      <c r="A139" s="4">
        <v>45491</v>
      </c>
      <c r="B139" s="8">
        <v>9530.11</v>
      </c>
      <c r="C139" s="3">
        <v>966542280</v>
      </c>
    </row>
    <row r="140" spans="1:3" x14ac:dyDescent="0.2">
      <c r="A140" s="4">
        <v>45492</v>
      </c>
      <c r="B140" s="8">
        <v>9414.1200000000008</v>
      </c>
      <c r="C140" s="3">
        <v>966542280</v>
      </c>
    </row>
    <row r="141" spans="1:3" x14ac:dyDescent="0.2">
      <c r="A141" s="4">
        <v>45495</v>
      </c>
      <c r="B141" s="8">
        <v>9375.4599999999991</v>
      </c>
      <c r="C141" s="3">
        <v>966542280</v>
      </c>
    </row>
    <row r="142" spans="1:3" x14ac:dyDescent="0.2">
      <c r="A142" s="4">
        <v>45496</v>
      </c>
      <c r="B142" s="8">
        <v>9481.7800000000007</v>
      </c>
      <c r="C142" s="3">
        <v>966542280</v>
      </c>
    </row>
    <row r="143" spans="1:3" x14ac:dyDescent="0.2">
      <c r="A143" s="4">
        <v>45497</v>
      </c>
      <c r="B143" s="8">
        <v>9665.42</v>
      </c>
      <c r="C143" s="3">
        <v>966542280</v>
      </c>
    </row>
    <row r="144" spans="1:3" x14ac:dyDescent="0.2">
      <c r="A144" s="4">
        <v>45498</v>
      </c>
      <c r="B144" s="8">
        <v>9520.44</v>
      </c>
      <c r="C144" s="3">
        <v>966542280</v>
      </c>
    </row>
    <row r="145" spans="1:3" x14ac:dyDescent="0.2">
      <c r="A145" s="4">
        <v>45499</v>
      </c>
      <c r="B145" s="8">
        <v>9394.7900000000009</v>
      </c>
      <c r="C145" s="3">
        <v>966542280</v>
      </c>
    </row>
    <row r="146" spans="1:3" x14ac:dyDescent="0.2">
      <c r="A146" s="4">
        <v>45502</v>
      </c>
      <c r="B146" s="8">
        <v>9433.4500000000007</v>
      </c>
      <c r="C146" s="3">
        <v>966542280</v>
      </c>
    </row>
    <row r="147" spans="1:3" x14ac:dyDescent="0.2">
      <c r="A147" s="4">
        <v>45503</v>
      </c>
      <c r="B147" s="8">
        <v>9433.4500000000007</v>
      </c>
      <c r="C147" s="3">
        <v>966542280</v>
      </c>
    </row>
    <row r="148" spans="1:3" x14ac:dyDescent="0.2">
      <c r="A148" s="4">
        <v>45504</v>
      </c>
      <c r="B148" s="8">
        <v>9491.4500000000007</v>
      </c>
      <c r="C148" s="3">
        <v>966542280</v>
      </c>
    </row>
    <row r="149" spans="1:3" x14ac:dyDescent="0.2">
      <c r="A149" s="4">
        <v>45505</v>
      </c>
      <c r="B149" s="8">
        <v>9520.44</v>
      </c>
      <c r="C149" s="3">
        <v>966542280</v>
      </c>
    </row>
    <row r="150" spans="1:3" x14ac:dyDescent="0.2">
      <c r="A150" s="4">
        <v>45506</v>
      </c>
      <c r="B150" s="8">
        <v>9568.77</v>
      </c>
      <c r="C150" s="3">
        <v>966542280</v>
      </c>
    </row>
    <row r="151" spans="1:3" x14ac:dyDescent="0.2">
      <c r="A151" s="4">
        <v>45509</v>
      </c>
      <c r="B151" s="8">
        <v>9220.81</v>
      </c>
      <c r="C151" s="3">
        <v>966542280</v>
      </c>
    </row>
    <row r="152" spans="1:3" x14ac:dyDescent="0.2">
      <c r="A152" s="4">
        <v>45510</v>
      </c>
      <c r="B152" s="8">
        <v>9230.48</v>
      </c>
      <c r="C152" s="3">
        <v>966542280</v>
      </c>
    </row>
    <row r="153" spans="1:3" x14ac:dyDescent="0.2">
      <c r="A153" s="4">
        <v>45511</v>
      </c>
      <c r="B153" s="8">
        <v>9394.7900000000009</v>
      </c>
      <c r="C153" s="3">
        <v>966542280</v>
      </c>
    </row>
    <row r="154" spans="1:3" x14ac:dyDescent="0.2">
      <c r="A154" s="4">
        <v>45512</v>
      </c>
      <c r="B154" s="8">
        <v>9394.7900000000009</v>
      </c>
      <c r="C154" s="3">
        <v>966542280</v>
      </c>
    </row>
    <row r="155" spans="1:3" x14ac:dyDescent="0.2">
      <c r="A155" s="4">
        <v>45513</v>
      </c>
      <c r="B155" s="8">
        <v>9443.1200000000008</v>
      </c>
      <c r="C155" s="3">
        <v>966542280</v>
      </c>
    </row>
    <row r="156" spans="1:3" x14ac:dyDescent="0.2">
      <c r="A156" s="4">
        <v>45516</v>
      </c>
      <c r="B156" s="8">
        <v>9327.1299999999992</v>
      </c>
      <c r="C156" s="3">
        <v>966542280</v>
      </c>
    </row>
    <row r="157" spans="1:3" x14ac:dyDescent="0.2">
      <c r="A157" s="4">
        <v>45517</v>
      </c>
      <c r="B157" s="8">
        <v>9356.1299999999992</v>
      </c>
      <c r="C157" s="3">
        <v>966542280</v>
      </c>
    </row>
    <row r="158" spans="1:3" x14ac:dyDescent="0.2">
      <c r="A158" s="4">
        <v>45518</v>
      </c>
      <c r="B158" s="8">
        <v>9269.14</v>
      </c>
      <c r="C158" s="3">
        <v>966542280</v>
      </c>
    </row>
    <row r="159" spans="1:3" x14ac:dyDescent="0.2">
      <c r="A159" s="4">
        <v>45519</v>
      </c>
      <c r="B159" s="8">
        <v>9481.7800000000007</v>
      </c>
      <c r="C159" s="3">
        <v>966542280</v>
      </c>
    </row>
    <row r="160" spans="1:3" x14ac:dyDescent="0.2">
      <c r="A160" s="4">
        <v>45520</v>
      </c>
      <c r="B160" s="8">
        <v>9588.1</v>
      </c>
      <c r="C160" s="3">
        <v>966542280</v>
      </c>
    </row>
    <row r="161" spans="1:3" x14ac:dyDescent="0.2">
      <c r="A161" s="4">
        <v>45523</v>
      </c>
      <c r="B161" s="8">
        <v>9665.42</v>
      </c>
      <c r="C161" s="3">
        <v>966542280</v>
      </c>
    </row>
    <row r="162" spans="1:3" x14ac:dyDescent="0.2">
      <c r="A162" s="4">
        <v>45524</v>
      </c>
      <c r="B162" s="8">
        <v>9684.75</v>
      </c>
      <c r="C162" s="3">
        <v>966542280</v>
      </c>
    </row>
    <row r="163" spans="1:3" x14ac:dyDescent="0.2">
      <c r="A163" s="4">
        <v>45525</v>
      </c>
      <c r="B163" s="8">
        <v>9733.08</v>
      </c>
      <c r="C163" s="3">
        <v>966542280</v>
      </c>
    </row>
    <row r="164" spans="1:3" x14ac:dyDescent="0.2">
      <c r="A164" s="4">
        <v>45526</v>
      </c>
      <c r="B164" s="8">
        <v>9626.76</v>
      </c>
      <c r="C164" s="3">
        <v>966542280</v>
      </c>
    </row>
    <row r="165" spans="1:3" x14ac:dyDescent="0.2">
      <c r="A165" s="4">
        <v>45527</v>
      </c>
      <c r="B165" s="8">
        <v>9800.74</v>
      </c>
      <c r="C165" s="3">
        <v>966542280</v>
      </c>
    </row>
    <row r="166" spans="1:3" x14ac:dyDescent="0.2">
      <c r="A166" s="4">
        <v>45530</v>
      </c>
      <c r="B166" s="8">
        <v>9694.42</v>
      </c>
      <c r="C166" s="3">
        <v>966542280</v>
      </c>
    </row>
    <row r="167" spans="1:3" x14ac:dyDescent="0.2">
      <c r="A167" s="4">
        <v>45531</v>
      </c>
      <c r="B167" s="8">
        <v>9684.75</v>
      </c>
      <c r="C167" s="3">
        <v>966542280</v>
      </c>
    </row>
    <row r="168" spans="1:3" x14ac:dyDescent="0.2">
      <c r="A168" s="4">
        <v>45532</v>
      </c>
      <c r="B168" s="8">
        <v>9733.08</v>
      </c>
      <c r="C168" s="3">
        <v>966542280</v>
      </c>
    </row>
    <row r="169" spans="1:3" x14ac:dyDescent="0.2">
      <c r="A169" s="4">
        <v>45533</v>
      </c>
      <c r="B169" s="8">
        <v>9675.09</v>
      </c>
      <c r="C169" s="3">
        <v>966542280</v>
      </c>
    </row>
    <row r="170" spans="1:3" x14ac:dyDescent="0.2">
      <c r="A170" s="4">
        <v>45534</v>
      </c>
      <c r="B170" s="8">
        <v>9800.74</v>
      </c>
      <c r="C170" s="3">
        <v>966542280</v>
      </c>
    </row>
    <row r="171" spans="1:3" x14ac:dyDescent="0.2">
      <c r="A171" s="4">
        <v>45537</v>
      </c>
      <c r="B171" s="8">
        <v>9936.0499999999993</v>
      </c>
      <c r="C171" s="3">
        <v>966542280</v>
      </c>
    </row>
    <row r="172" spans="1:3" x14ac:dyDescent="0.2">
      <c r="A172" s="4">
        <v>45538</v>
      </c>
      <c r="B172" s="8">
        <v>9926.39</v>
      </c>
      <c r="C172" s="3">
        <v>966542280</v>
      </c>
    </row>
    <row r="173" spans="1:3" x14ac:dyDescent="0.2">
      <c r="A173" s="4">
        <v>45539</v>
      </c>
      <c r="B173" s="8">
        <v>10148.69</v>
      </c>
      <c r="C173" s="3">
        <v>966542280</v>
      </c>
    </row>
    <row r="174" spans="1:3" x14ac:dyDescent="0.2">
      <c r="A174" s="4">
        <v>45540</v>
      </c>
      <c r="B174" s="8">
        <v>10535.31</v>
      </c>
      <c r="C174" s="3">
        <v>966542280</v>
      </c>
    </row>
    <row r="175" spans="1:3" x14ac:dyDescent="0.2">
      <c r="A175" s="4">
        <v>45541</v>
      </c>
      <c r="B175" s="8">
        <v>10709.29</v>
      </c>
      <c r="C175" s="3">
        <v>966542280</v>
      </c>
    </row>
    <row r="176" spans="1:3" x14ac:dyDescent="0.2">
      <c r="A176" s="4">
        <v>45544</v>
      </c>
      <c r="B176" s="8">
        <v>10728.62</v>
      </c>
      <c r="C176" s="3">
        <v>966542280</v>
      </c>
    </row>
    <row r="177" spans="1:3" x14ac:dyDescent="0.2">
      <c r="A177" s="4">
        <v>45545</v>
      </c>
      <c r="B177" s="8">
        <v>10709.29</v>
      </c>
      <c r="C177" s="3">
        <v>966542280</v>
      </c>
    </row>
    <row r="178" spans="1:3" x14ac:dyDescent="0.2">
      <c r="A178" s="4">
        <v>45546</v>
      </c>
      <c r="B178" s="8">
        <v>10883.27</v>
      </c>
      <c r="C178" s="3">
        <v>966542280</v>
      </c>
    </row>
    <row r="179" spans="1:3" x14ac:dyDescent="0.2">
      <c r="A179" s="4">
        <v>45547</v>
      </c>
      <c r="B179" s="8">
        <v>11018.58</v>
      </c>
      <c r="C179" s="3">
        <v>966542280</v>
      </c>
    </row>
    <row r="180" spans="1:3" x14ac:dyDescent="0.2">
      <c r="A180" s="4">
        <v>45548</v>
      </c>
      <c r="B180" s="8">
        <v>10883.27</v>
      </c>
      <c r="C180" s="3">
        <v>966542280</v>
      </c>
    </row>
    <row r="181" spans="1:3" x14ac:dyDescent="0.2">
      <c r="A181" s="4">
        <v>45551</v>
      </c>
      <c r="B181" s="8">
        <v>10738.28</v>
      </c>
      <c r="C181" s="3">
        <v>966542280</v>
      </c>
    </row>
    <row r="182" spans="1:3" x14ac:dyDescent="0.2">
      <c r="A182" s="4">
        <v>45552</v>
      </c>
      <c r="B182" s="8">
        <v>10863.94</v>
      </c>
      <c r="C182" s="3">
        <v>966542280</v>
      </c>
    </row>
    <row r="183" spans="1:3" x14ac:dyDescent="0.2">
      <c r="A183" s="4">
        <v>45553</v>
      </c>
      <c r="B183" s="8">
        <v>10776.95</v>
      </c>
      <c r="C183" s="3">
        <v>966542280</v>
      </c>
    </row>
    <row r="184" spans="1:3" x14ac:dyDescent="0.2">
      <c r="A184" s="4">
        <v>45554</v>
      </c>
      <c r="B184" s="8">
        <v>11008.92</v>
      </c>
      <c r="C184" s="3">
        <v>966542280</v>
      </c>
    </row>
    <row r="185" spans="1:3" x14ac:dyDescent="0.2">
      <c r="A185" s="4">
        <v>45555</v>
      </c>
      <c r="B185" s="8">
        <v>10892.93</v>
      </c>
      <c r="C185" s="3">
        <v>966542280</v>
      </c>
    </row>
    <row r="186" spans="1:3" x14ac:dyDescent="0.2">
      <c r="A186" s="4">
        <v>45558</v>
      </c>
      <c r="B186" s="8">
        <v>10950.92</v>
      </c>
      <c r="C186" s="3">
        <v>966542280</v>
      </c>
    </row>
    <row r="187" spans="1:3" x14ac:dyDescent="0.2">
      <c r="A187" s="4">
        <v>45559</v>
      </c>
      <c r="B187" s="8">
        <v>10796.28</v>
      </c>
      <c r="C187" s="3">
        <v>966542280</v>
      </c>
    </row>
    <row r="188" spans="1:3" x14ac:dyDescent="0.2">
      <c r="A188" s="4">
        <v>45560</v>
      </c>
      <c r="B188" s="8">
        <v>10767.28</v>
      </c>
      <c r="C188" s="3">
        <v>966542280</v>
      </c>
    </row>
    <row r="189" spans="1:3" x14ac:dyDescent="0.2">
      <c r="A189" s="4">
        <v>45561</v>
      </c>
      <c r="B189" s="8">
        <v>10931.59</v>
      </c>
      <c r="C189" s="3">
        <v>966542280</v>
      </c>
    </row>
    <row r="190" spans="1:3" x14ac:dyDescent="0.2">
      <c r="A190" s="4">
        <v>45562</v>
      </c>
      <c r="B190" s="8">
        <v>11037.91</v>
      </c>
      <c r="C190" s="3">
        <v>966542280</v>
      </c>
    </row>
    <row r="191" spans="1:3" x14ac:dyDescent="0.2">
      <c r="A191" s="4">
        <v>45565</v>
      </c>
      <c r="B191" s="8">
        <v>11028.25</v>
      </c>
      <c r="C191" s="3">
        <v>966542280</v>
      </c>
    </row>
    <row r="192" spans="1:3" x14ac:dyDescent="0.2">
      <c r="A192" s="4">
        <v>45566</v>
      </c>
      <c r="B192" s="8">
        <v>10796.28</v>
      </c>
      <c r="C192" s="3">
        <v>966542280</v>
      </c>
    </row>
    <row r="193" spans="1:3" x14ac:dyDescent="0.2">
      <c r="A193" s="4">
        <v>45567</v>
      </c>
      <c r="B193" s="8">
        <v>10805.94</v>
      </c>
      <c r="C193" s="3">
        <v>966542280</v>
      </c>
    </row>
    <row r="194" spans="1:3" x14ac:dyDescent="0.2">
      <c r="A194" s="4">
        <v>45568</v>
      </c>
      <c r="B194" s="8">
        <v>10709.29</v>
      </c>
      <c r="C194" s="3">
        <v>966542280</v>
      </c>
    </row>
    <row r="195" spans="1:3" x14ac:dyDescent="0.2">
      <c r="A195" s="4">
        <v>45569</v>
      </c>
      <c r="B195" s="8">
        <v>10709.29</v>
      </c>
      <c r="C195" s="3">
        <v>966542280</v>
      </c>
    </row>
    <row r="196" spans="1:3" x14ac:dyDescent="0.2">
      <c r="A196" s="4">
        <v>45572</v>
      </c>
      <c r="B196" s="8">
        <v>10786.61</v>
      </c>
      <c r="C196" s="3">
        <v>966542280</v>
      </c>
    </row>
    <row r="197" spans="1:3" x14ac:dyDescent="0.2">
      <c r="A197" s="4">
        <v>45573</v>
      </c>
      <c r="B197" s="8">
        <v>10670.63</v>
      </c>
      <c r="C197" s="3">
        <v>966542280</v>
      </c>
    </row>
    <row r="198" spans="1:3" x14ac:dyDescent="0.2">
      <c r="A198" s="4">
        <v>45574</v>
      </c>
      <c r="B198" s="8">
        <v>10796.28</v>
      </c>
      <c r="C198" s="3">
        <v>966542280</v>
      </c>
    </row>
    <row r="199" spans="1:3" x14ac:dyDescent="0.2">
      <c r="A199" s="4">
        <v>45575</v>
      </c>
      <c r="B199" s="8">
        <v>10535.31</v>
      </c>
      <c r="C199" s="3">
        <v>966542280</v>
      </c>
    </row>
    <row r="200" spans="1:3" x14ac:dyDescent="0.2">
      <c r="A200" s="4">
        <v>45576</v>
      </c>
      <c r="B200" s="8">
        <v>10786.61</v>
      </c>
      <c r="C200" s="3">
        <v>966542280</v>
      </c>
    </row>
    <row r="201" spans="1:3" x14ac:dyDescent="0.2">
      <c r="A201" s="4">
        <v>45579</v>
      </c>
      <c r="B201" s="8">
        <v>10689.96</v>
      </c>
      <c r="C201" s="3">
        <v>966542280</v>
      </c>
    </row>
    <row r="202" spans="1:3" x14ac:dyDescent="0.2">
      <c r="A202" s="4">
        <v>45580</v>
      </c>
      <c r="B202" s="8">
        <v>10747.95</v>
      </c>
      <c r="C202" s="3">
        <v>966542280</v>
      </c>
    </row>
    <row r="203" spans="1:3" x14ac:dyDescent="0.2">
      <c r="A203" s="4">
        <v>45581</v>
      </c>
      <c r="B203" s="8">
        <v>10525.65</v>
      </c>
      <c r="C203" s="3">
        <v>966542280</v>
      </c>
    </row>
    <row r="204" spans="1:3" x14ac:dyDescent="0.2">
      <c r="A204" s="4">
        <v>45582</v>
      </c>
      <c r="B204" s="8">
        <v>10699.62</v>
      </c>
      <c r="C204" s="3">
        <v>966542280</v>
      </c>
    </row>
    <row r="205" spans="1:3" x14ac:dyDescent="0.2">
      <c r="A205" s="4">
        <v>45583</v>
      </c>
      <c r="B205" s="8">
        <v>10747.95</v>
      </c>
      <c r="C205" s="3">
        <v>966542280</v>
      </c>
    </row>
    <row r="206" spans="1:3" x14ac:dyDescent="0.2">
      <c r="A206" s="4">
        <v>45586</v>
      </c>
      <c r="B206" s="8">
        <v>10892.93</v>
      </c>
      <c r="C206" s="3">
        <v>966542280</v>
      </c>
    </row>
    <row r="207" spans="1:3" x14ac:dyDescent="0.2">
      <c r="A207" s="4">
        <v>45587</v>
      </c>
      <c r="B207" s="8">
        <v>11076.57</v>
      </c>
      <c r="C207" s="3">
        <v>966542280</v>
      </c>
    </row>
    <row r="208" spans="1:3" x14ac:dyDescent="0.2">
      <c r="A208" s="4">
        <v>45588</v>
      </c>
      <c r="B208" s="8">
        <v>11231.22</v>
      </c>
      <c r="C208" s="3">
        <v>966542280</v>
      </c>
    </row>
    <row r="209" spans="1:3" x14ac:dyDescent="0.2">
      <c r="A209" s="4">
        <v>45589</v>
      </c>
      <c r="B209" s="8">
        <v>11385.87</v>
      </c>
      <c r="C209" s="3">
        <v>966542280</v>
      </c>
    </row>
    <row r="210" spans="1:3" x14ac:dyDescent="0.2">
      <c r="A210" s="4">
        <v>45590</v>
      </c>
      <c r="B210" s="8">
        <v>11269.88</v>
      </c>
      <c r="C210" s="3">
        <v>966542280</v>
      </c>
    </row>
    <row r="211" spans="1:3" x14ac:dyDescent="0.2">
      <c r="A211" s="4">
        <v>45593</v>
      </c>
      <c r="B211" s="8">
        <v>11550.18</v>
      </c>
      <c r="C211" s="3">
        <v>966542280</v>
      </c>
    </row>
    <row r="212" spans="1:3" x14ac:dyDescent="0.2">
      <c r="A212" s="4">
        <v>45594</v>
      </c>
      <c r="B212" s="8">
        <v>11569.51</v>
      </c>
      <c r="C212" s="3">
        <v>966542280</v>
      </c>
    </row>
    <row r="213" spans="1:3" x14ac:dyDescent="0.2">
      <c r="A213" s="4">
        <v>45595</v>
      </c>
      <c r="B213" s="8">
        <v>11279.55</v>
      </c>
      <c r="C213" s="3">
        <v>966542280</v>
      </c>
    </row>
    <row r="214" spans="1:3" x14ac:dyDescent="0.2">
      <c r="A214" s="4">
        <v>45596</v>
      </c>
      <c r="B214" s="8">
        <v>11115.24</v>
      </c>
      <c r="C214" s="3">
        <v>966542280</v>
      </c>
    </row>
    <row r="215" spans="1:3" x14ac:dyDescent="0.2">
      <c r="A215" s="4">
        <v>45597</v>
      </c>
      <c r="B215" s="8">
        <v>11221.56</v>
      </c>
      <c r="C215" s="3">
        <v>966542280</v>
      </c>
    </row>
    <row r="216" spans="1:3" x14ac:dyDescent="0.2">
      <c r="A216" s="4">
        <v>45600</v>
      </c>
      <c r="B216" s="8">
        <v>11192.56</v>
      </c>
      <c r="C216" s="3">
        <v>966542280</v>
      </c>
    </row>
    <row r="217" spans="1:3" x14ac:dyDescent="0.2">
      <c r="A217" s="4">
        <v>45601</v>
      </c>
      <c r="B217" s="8">
        <v>11076.57</v>
      </c>
      <c r="C217" s="3">
        <v>966542280</v>
      </c>
    </row>
    <row r="218" spans="1:3" x14ac:dyDescent="0.2">
      <c r="A218" s="4">
        <v>45602</v>
      </c>
      <c r="B218" s="8">
        <v>11269.88</v>
      </c>
      <c r="C218" s="3">
        <v>966542280</v>
      </c>
    </row>
    <row r="219" spans="1:3" x14ac:dyDescent="0.2">
      <c r="A219" s="4">
        <v>45603</v>
      </c>
      <c r="B219" s="8">
        <v>11018.58</v>
      </c>
      <c r="C219" s="3">
        <v>966542280</v>
      </c>
    </row>
    <row r="220" spans="1:3" x14ac:dyDescent="0.2">
      <c r="A220" s="4">
        <v>45604</v>
      </c>
      <c r="B220" s="8">
        <v>10921.93</v>
      </c>
      <c r="C220" s="3">
        <v>966542280</v>
      </c>
    </row>
    <row r="221" spans="1:3" x14ac:dyDescent="0.2">
      <c r="A221" s="4">
        <v>45607</v>
      </c>
      <c r="B221" s="8">
        <v>10670.63</v>
      </c>
      <c r="C221" s="3">
        <v>966542280</v>
      </c>
    </row>
    <row r="222" spans="1:3" x14ac:dyDescent="0.2">
      <c r="A222" s="4">
        <v>45608</v>
      </c>
      <c r="B222" s="8">
        <v>10757.62</v>
      </c>
      <c r="C222" s="3">
        <v>966542280</v>
      </c>
    </row>
    <row r="223" spans="1:3" x14ac:dyDescent="0.2">
      <c r="A223" s="4">
        <v>45609</v>
      </c>
      <c r="B223" s="8">
        <v>10892.93</v>
      </c>
      <c r="C223" s="3">
        <v>966542280</v>
      </c>
    </row>
    <row r="224" spans="1:3" x14ac:dyDescent="0.2">
      <c r="A224" s="4">
        <v>45610</v>
      </c>
      <c r="B224" s="8">
        <v>10912.26</v>
      </c>
      <c r="C224" s="3">
        <v>966542280</v>
      </c>
    </row>
    <row r="225" spans="1:3" x14ac:dyDescent="0.2">
      <c r="A225" s="4">
        <v>45611</v>
      </c>
      <c r="B225" s="8">
        <v>11028.25</v>
      </c>
      <c r="C225" s="3">
        <v>966542280</v>
      </c>
    </row>
    <row r="226" spans="1:3" x14ac:dyDescent="0.2">
      <c r="A226" s="4">
        <v>45614</v>
      </c>
      <c r="B226" s="8">
        <v>10873.6</v>
      </c>
      <c r="C226" s="3">
        <v>966542280</v>
      </c>
    </row>
    <row r="227" spans="1:3" x14ac:dyDescent="0.2">
      <c r="A227" s="4">
        <v>45615</v>
      </c>
      <c r="B227" s="8">
        <v>10641.63</v>
      </c>
      <c r="C227" s="3">
        <v>966542280</v>
      </c>
    </row>
    <row r="228" spans="1:3" x14ac:dyDescent="0.2">
      <c r="A228" s="4">
        <v>45616</v>
      </c>
      <c r="B228" s="8">
        <v>10709.29</v>
      </c>
      <c r="C228" s="3">
        <v>966542280</v>
      </c>
    </row>
    <row r="229" spans="1:3" x14ac:dyDescent="0.2">
      <c r="A229" s="4">
        <v>45617</v>
      </c>
      <c r="B229" s="8">
        <v>10815.61</v>
      </c>
      <c r="C229" s="3">
        <v>966542280</v>
      </c>
    </row>
    <row r="230" spans="1:3" x14ac:dyDescent="0.2">
      <c r="A230" s="4">
        <v>45618</v>
      </c>
      <c r="B230" s="8">
        <v>10825.27</v>
      </c>
      <c r="C230" s="3">
        <v>966542280</v>
      </c>
    </row>
    <row r="231" spans="1:3" x14ac:dyDescent="0.2">
      <c r="A231" s="4">
        <v>45621</v>
      </c>
      <c r="B231" s="8">
        <v>11037.91</v>
      </c>
      <c r="C231" s="3">
        <v>966542280</v>
      </c>
    </row>
    <row r="232" spans="1:3" x14ac:dyDescent="0.2">
      <c r="A232" s="4">
        <v>45622</v>
      </c>
      <c r="B232" s="8">
        <v>11018.58</v>
      </c>
      <c r="C232" s="3">
        <v>966542280</v>
      </c>
    </row>
    <row r="233" spans="1:3" x14ac:dyDescent="0.2">
      <c r="A233" s="4">
        <v>45623</v>
      </c>
      <c r="B233" s="8">
        <v>11211.89</v>
      </c>
      <c r="C233" s="3">
        <v>966542280</v>
      </c>
    </row>
    <row r="234" spans="1:3" x14ac:dyDescent="0.2">
      <c r="A234" s="4">
        <v>45624</v>
      </c>
      <c r="B234" s="8">
        <v>11182.89</v>
      </c>
      <c r="C234" s="3">
        <v>966542280</v>
      </c>
    </row>
    <row r="235" spans="1:3" x14ac:dyDescent="0.2">
      <c r="A235" s="4">
        <v>45625</v>
      </c>
      <c r="B235" s="8">
        <v>11240.89</v>
      </c>
      <c r="C235" s="3">
        <v>966542280</v>
      </c>
    </row>
    <row r="236" spans="1:3" x14ac:dyDescent="0.2">
      <c r="A236" s="4">
        <v>45628</v>
      </c>
      <c r="B236" s="8">
        <v>11221.56</v>
      </c>
      <c r="C236" s="3">
        <v>966542280</v>
      </c>
    </row>
    <row r="237" spans="1:3" x14ac:dyDescent="0.2">
      <c r="A237" s="4">
        <v>45629</v>
      </c>
      <c r="B237" s="8">
        <v>10960.59</v>
      </c>
      <c r="C237" s="3">
        <v>966542280</v>
      </c>
    </row>
    <row r="238" spans="1:3" x14ac:dyDescent="0.2">
      <c r="A238" s="4">
        <v>45630</v>
      </c>
      <c r="B238" s="8">
        <v>10979.92</v>
      </c>
      <c r="C238" s="3">
        <v>966542280</v>
      </c>
    </row>
    <row r="239" spans="1:3" x14ac:dyDescent="0.2">
      <c r="A239" s="4">
        <v>45631</v>
      </c>
      <c r="B239" s="8">
        <v>11192.56</v>
      </c>
      <c r="C239" s="3">
        <v>966542280</v>
      </c>
    </row>
    <row r="240" spans="1:3" x14ac:dyDescent="0.2">
      <c r="A240" s="4">
        <v>45632</v>
      </c>
      <c r="B240" s="8">
        <v>10979.92</v>
      </c>
      <c r="C240" s="3">
        <v>966542280</v>
      </c>
    </row>
    <row r="241" spans="1:3" x14ac:dyDescent="0.2">
      <c r="A241" s="4">
        <v>45635</v>
      </c>
      <c r="B241" s="8">
        <v>11057.24</v>
      </c>
      <c r="C241" s="3">
        <v>966542280</v>
      </c>
    </row>
    <row r="242" spans="1:3" x14ac:dyDescent="0.2">
      <c r="A242" s="4">
        <v>45636</v>
      </c>
      <c r="B242" s="8">
        <v>10736.08</v>
      </c>
      <c r="C242" s="3">
        <v>968086132</v>
      </c>
    </row>
    <row r="243" spans="1:3" x14ac:dyDescent="0.2">
      <c r="A243" s="4">
        <v>45637</v>
      </c>
      <c r="B243" s="8">
        <v>10581.18</v>
      </c>
      <c r="C243" s="3">
        <v>968086132</v>
      </c>
    </row>
    <row r="244" spans="1:3" x14ac:dyDescent="0.2">
      <c r="A244" s="4">
        <v>45638</v>
      </c>
      <c r="B244" s="8">
        <v>10523.1</v>
      </c>
      <c r="C244" s="3">
        <v>968086132</v>
      </c>
    </row>
    <row r="245" spans="1:3" x14ac:dyDescent="0.2">
      <c r="A245" s="4">
        <v>45639</v>
      </c>
      <c r="B245" s="8">
        <v>10619.9</v>
      </c>
      <c r="C245" s="3">
        <v>968086132</v>
      </c>
    </row>
    <row r="246" spans="1:3" x14ac:dyDescent="0.2">
      <c r="A246" s="4">
        <v>45642</v>
      </c>
      <c r="B246" s="8">
        <v>10629.59</v>
      </c>
      <c r="C246" s="3">
        <v>968086132</v>
      </c>
    </row>
    <row r="247" spans="1:3" x14ac:dyDescent="0.2">
      <c r="A247" s="4">
        <v>45643</v>
      </c>
      <c r="B247" s="8">
        <v>10939.37</v>
      </c>
      <c r="C247" s="3">
        <v>968086132</v>
      </c>
    </row>
    <row r="248" spans="1:3" x14ac:dyDescent="0.2">
      <c r="A248" s="4">
        <v>45644</v>
      </c>
      <c r="B248" s="8">
        <v>10900.65</v>
      </c>
      <c r="C248" s="3">
        <v>968086132</v>
      </c>
    </row>
    <row r="249" spans="1:3" x14ac:dyDescent="0.2">
      <c r="A249" s="4">
        <v>45645</v>
      </c>
      <c r="B249" s="8">
        <v>10610.22</v>
      </c>
      <c r="C249" s="3">
        <v>968086132</v>
      </c>
    </row>
    <row r="250" spans="1:3" x14ac:dyDescent="0.2">
      <c r="A250" s="4">
        <v>45646</v>
      </c>
      <c r="B250" s="8">
        <v>10987.78</v>
      </c>
      <c r="C250" s="3">
        <v>968086132</v>
      </c>
    </row>
    <row r="251" spans="1:3" x14ac:dyDescent="0.2">
      <c r="A251" s="4">
        <v>45649</v>
      </c>
      <c r="B251" s="8">
        <v>11026.5</v>
      </c>
      <c r="C251" s="3">
        <v>968086132</v>
      </c>
    </row>
    <row r="252" spans="1:3" x14ac:dyDescent="0.2">
      <c r="A252" s="4">
        <v>45650</v>
      </c>
      <c r="B252" s="8">
        <v>11191.08</v>
      </c>
      <c r="C252" s="3">
        <v>968086132</v>
      </c>
    </row>
    <row r="253" spans="1:3" x14ac:dyDescent="0.2">
      <c r="A253" s="4">
        <v>45653</v>
      </c>
      <c r="B253" s="8">
        <v>11181.39</v>
      </c>
      <c r="C253" s="3">
        <v>968086132</v>
      </c>
    </row>
    <row r="254" spans="1:3" x14ac:dyDescent="0.2">
      <c r="A254" s="4">
        <v>45656</v>
      </c>
      <c r="B254" s="8">
        <v>11200.76</v>
      </c>
      <c r="C254" s="3">
        <v>968086132</v>
      </c>
    </row>
    <row r="255" spans="1:3" x14ac:dyDescent="0.2">
      <c r="A255" s="4">
        <v>45657</v>
      </c>
      <c r="B255" s="8">
        <v>11200.76</v>
      </c>
      <c r="C255" s="3">
        <v>968086132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11A0-A871-4C30-BC79-BF05221E8A20}">
  <dimension ref="A1:K255"/>
  <sheetViews>
    <sheetView topLeftCell="B1" zoomScaleNormal="100" workbookViewId="0">
      <selection activeCell="G2" sqref="G2"/>
    </sheetView>
  </sheetViews>
  <sheetFormatPr defaultRowHeight="12.75" x14ac:dyDescent="0.2"/>
  <cols>
    <col min="1" max="1" width="19" style="4" customWidth="1"/>
    <col min="2" max="2" width="12.42578125" style="9" customWidth="1"/>
    <col min="3" max="3" width="11.42578125" style="10" customWidth="1"/>
    <col min="4" max="4" width="10.5703125" customWidth="1"/>
  </cols>
  <sheetData>
    <row r="1" spans="1:11" ht="15" x14ac:dyDescent="0.25">
      <c r="A1" s="5" t="s">
        <v>1</v>
      </c>
      <c r="B1" s="7" t="s">
        <v>5</v>
      </c>
      <c r="C1" s="70" t="s">
        <v>31</v>
      </c>
      <c r="D1" s="69" t="s">
        <v>16</v>
      </c>
    </row>
    <row r="2" spans="1:11" x14ac:dyDescent="0.2">
      <c r="A2" s="4">
        <v>45293</v>
      </c>
      <c r="B2" s="8">
        <v>9.2799999999999994</v>
      </c>
      <c r="C2" s="10">
        <f>D2/B2</f>
        <v>2.0043103448275864E-2</v>
      </c>
      <c r="D2" s="50">
        <f>0.0651+0.1209</f>
        <v>0.186</v>
      </c>
      <c r="K2" s="64"/>
    </row>
    <row r="3" spans="1:11" x14ac:dyDescent="0.2">
      <c r="A3" s="4">
        <v>45294</v>
      </c>
      <c r="B3" s="8">
        <v>9.3000000000000007</v>
      </c>
      <c r="C3" s="10">
        <f t="shared" ref="C3:C66" si="0">D3/B3</f>
        <v>1.9999999999999997E-2</v>
      </c>
      <c r="D3" s="50">
        <f t="shared" ref="D3:D66" si="1">0.0651+0.1209</f>
        <v>0.186</v>
      </c>
    </row>
    <row r="4" spans="1:11" x14ac:dyDescent="0.2">
      <c r="A4" s="4">
        <v>45295</v>
      </c>
      <c r="B4" s="8">
        <v>9.69</v>
      </c>
      <c r="C4" s="10">
        <f t="shared" si="0"/>
        <v>1.9195046439628483E-2</v>
      </c>
      <c r="D4" s="50">
        <f t="shared" si="1"/>
        <v>0.186</v>
      </c>
    </row>
    <row r="5" spans="1:11" x14ac:dyDescent="0.2">
      <c r="A5" s="4">
        <v>45296</v>
      </c>
      <c r="B5" s="8">
        <v>9.34</v>
      </c>
      <c r="C5" s="10">
        <f t="shared" si="0"/>
        <v>1.9914346895074948E-2</v>
      </c>
      <c r="D5" s="50">
        <f t="shared" si="1"/>
        <v>0.186</v>
      </c>
    </row>
    <row r="6" spans="1:11" x14ac:dyDescent="0.2">
      <c r="A6" s="4">
        <v>45299</v>
      </c>
      <c r="B6" s="8">
        <v>9.5299999999999994</v>
      </c>
      <c r="C6" s="10">
        <f t="shared" si="0"/>
        <v>1.9517313746065058E-2</v>
      </c>
      <c r="D6" s="50">
        <f t="shared" si="1"/>
        <v>0.186</v>
      </c>
    </row>
    <row r="7" spans="1:11" x14ac:dyDescent="0.2">
      <c r="A7" s="4">
        <v>45300</v>
      </c>
      <c r="B7" s="8">
        <v>9.51</v>
      </c>
      <c r="C7" s="10">
        <f t="shared" si="0"/>
        <v>1.9558359621451103E-2</v>
      </c>
      <c r="D7" s="50">
        <f t="shared" si="1"/>
        <v>0.186</v>
      </c>
    </row>
    <row r="8" spans="1:11" x14ac:dyDescent="0.2">
      <c r="A8" s="4">
        <v>45301</v>
      </c>
      <c r="B8" s="8">
        <v>9.4700000000000006</v>
      </c>
      <c r="C8" s="10">
        <f t="shared" si="0"/>
        <v>1.9640971488912352E-2</v>
      </c>
      <c r="D8" s="50">
        <f t="shared" si="1"/>
        <v>0.186</v>
      </c>
    </row>
    <row r="9" spans="1:11" x14ac:dyDescent="0.2">
      <c r="A9" s="4">
        <v>45302</v>
      </c>
      <c r="B9" s="8">
        <v>9.52</v>
      </c>
      <c r="C9" s="10">
        <f t="shared" si="0"/>
        <v>1.953781512605042E-2</v>
      </c>
      <c r="D9" s="50">
        <f t="shared" si="1"/>
        <v>0.186</v>
      </c>
    </row>
    <row r="10" spans="1:11" x14ac:dyDescent="0.2">
      <c r="A10" s="4">
        <v>45303</v>
      </c>
      <c r="B10" s="8">
        <v>9.5500000000000007</v>
      </c>
      <c r="C10" s="10">
        <f t="shared" si="0"/>
        <v>1.9476439790575915E-2</v>
      </c>
      <c r="D10" s="50">
        <f t="shared" si="1"/>
        <v>0.186</v>
      </c>
    </row>
    <row r="11" spans="1:11" x14ac:dyDescent="0.2">
      <c r="A11" s="4">
        <v>45306</v>
      </c>
      <c r="B11" s="8">
        <v>9.4499999999999993</v>
      </c>
      <c r="C11" s="10">
        <f t="shared" si="0"/>
        <v>1.9682539682539683E-2</v>
      </c>
      <c r="D11" s="50">
        <f t="shared" si="1"/>
        <v>0.186</v>
      </c>
    </row>
    <row r="12" spans="1:11" x14ac:dyDescent="0.2">
      <c r="A12" s="4">
        <v>45307</v>
      </c>
      <c r="B12" s="8">
        <v>9.48</v>
      </c>
      <c r="C12" s="10">
        <f t="shared" si="0"/>
        <v>1.9620253164556962E-2</v>
      </c>
      <c r="D12" s="50">
        <f t="shared" si="1"/>
        <v>0.186</v>
      </c>
    </row>
    <row r="13" spans="1:11" x14ac:dyDescent="0.2">
      <c r="A13" s="4">
        <v>45308</v>
      </c>
      <c r="B13" s="8">
        <v>9.36</v>
      </c>
      <c r="C13" s="10">
        <f t="shared" si="0"/>
        <v>1.9871794871794874E-2</v>
      </c>
      <c r="D13" s="50">
        <f t="shared" si="1"/>
        <v>0.186</v>
      </c>
    </row>
    <row r="14" spans="1:11" x14ac:dyDescent="0.2">
      <c r="A14" s="4">
        <v>45309</v>
      </c>
      <c r="B14" s="8">
        <v>9.56</v>
      </c>
      <c r="C14" s="10">
        <f t="shared" si="0"/>
        <v>1.9456066945606695E-2</v>
      </c>
      <c r="D14" s="50">
        <f t="shared" si="1"/>
        <v>0.186</v>
      </c>
    </row>
    <row r="15" spans="1:11" x14ac:dyDescent="0.2">
      <c r="A15" s="4">
        <v>45310</v>
      </c>
      <c r="B15" s="8">
        <v>9.4</v>
      </c>
      <c r="C15" s="10">
        <f t="shared" si="0"/>
        <v>1.9787234042553191E-2</v>
      </c>
      <c r="D15" s="50">
        <f t="shared" si="1"/>
        <v>0.186</v>
      </c>
    </row>
    <row r="16" spans="1:11" x14ac:dyDescent="0.2">
      <c r="A16" s="4">
        <v>45313</v>
      </c>
      <c r="B16" s="8">
        <v>9.5299999999999994</v>
      </c>
      <c r="C16" s="10">
        <f t="shared" si="0"/>
        <v>1.9517313746065058E-2</v>
      </c>
      <c r="D16" s="50">
        <f t="shared" si="1"/>
        <v>0.186</v>
      </c>
    </row>
    <row r="17" spans="1:4" x14ac:dyDescent="0.2">
      <c r="A17" s="4">
        <v>45314</v>
      </c>
      <c r="B17" s="8">
        <v>9.65</v>
      </c>
      <c r="C17" s="10">
        <f t="shared" si="0"/>
        <v>1.9274611398963731E-2</v>
      </c>
      <c r="D17" s="50">
        <f t="shared" si="1"/>
        <v>0.186</v>
      </c>
    </row>
    <row r="18" spans="1:4" x14ac:dyDescent="0.2">
      <c r="A18" s="4">
        <v>45315</v>
      </c>
      <c r="B18" s="8">
        <v>9.6</v>
      </c>
      <c r="C18" s="10">
        <f t="shared" si="0"/>
        <v>1.9375E-2</v>
      </c>
      <c r="D18" s="50">
        <f t="shared" si="1"/>
        <v>0.186</v>
      </c>
    </row>
    <row r="19" spans="1:4" x14ac:dyDescent="0.2">
      <c r="A19" s="4">
        <v>45316</v>
      </c>
      <c r="B19" s="8">
        <v>9.64</v>
      </c>
      <c r="C19" s="10">
        <f t="shared" si="0"/>
        <v>1.9294605809128628E-2</v>
      </c>
      <c r="D19" s="50">
        <f t="shared" si="1"/>
        <v>0.186</v>
      </c>
    </row>
    <row r="20" spans="1:4" x14ac:dyDescent="0.2">
      <c r="A20" s="4">
        <v>45320</v>
      </c>
      <c r="B20" s="8">
        <v>10.09</v>
      </c>
      <c r="C20" s="10">
        <f t="shared" si="0"/>
        <v>1.8434093161546084E-2</v>
      </c>
      <c r="D20" s="50">
        <f t="shared" si="1"/>
        <v>0.186</v>
      </c>
    </row>
    <row r="21" spans="1:4" x14ac:dyDescent="0.2">
      <c r="A21" s="4">
        <v>45321</v>
      </c>
      <c r="B21" s="8">
        <v>9.9700000000000006</v>
      </c>
      <c r="C21" s="10">
        <f t="shared" si="0"/>
        <v>1.8655967903711133E-2</v>
      </c>
      <c r="D21" s="50">
        <f t="shared" si="1"/>
        <v>0.186</v>
      </c>
    </row>
    <row r="22" spans="1:4" x14ac:dyDescent="0.2">
      <c r="A22" s="4">
        <v>45322</v>
      </c>
      <c r="B22" s="8">
        <v>9.8800000000000008</v>
      </c>
      <c r="C22" s="10">
        <f t="shared" si="0"/>
        <v>1.8825910931174087E-2</v>
      </c>
      <c r="D22" s="50">
        <f t="shared" si="1"/>
        <v>0.186</v>
      </c>
    </row>
    <row r="23" spans="1:4" x14ac:dyDescent="0.2">
      <c r="A23" s="4">
        <v>45323</v>
      </c>
      <c r="B23" s="8">
        <v>9.9499999999999993</v>
      </c>
      <c r="C23" s="10">
        <f t="shared" si="0"/>
        <v>1.8693467336683419E-2</v>
      </c>
      <c r="D23" s="50">
        <f t="shared" si="1"/>
        <v>0.186</v>
      </c>
    </row>
    <row r="24" spans="1:4" x14ac:dyDescent="0.2">
      <c r="A24" s="4">
        <v>45324</v>
      </c>
      <c r="B24" s="8">
        <v>9.8699999999999992</v>
      </c>
      <c r="C24" s="10">
        <f t="shared" si="0"/>
        <v>1.8844984802431613E-2</v>
      </c>
      <c r="D24" s="50">
        <f t="shared" si="1"/>
        <v>0.186</v>
      </c>
    </row>
    <row r="25" spans="1:4" x14ac:dyDescent="0.2">
      <c r="A25" s="4">
        <v>45327</v>
      </c>
      <c r="B25" s="8">
        <v>9.92</v>
      </c>
      <c r="C25" s="10">
        <f t="shared" si="0"/>
        <v>1.8749999999999999E-2</v>
      </c>
      <c r="D25" s="50">
        <f t="shared" si="1"/>
        <v>0.186</v>
      </c>
    </row>
    <row r="26" spans="1:4" x14ac:dyDescent="0.2">
      <c r="A26" s="4">
        <v>45328</v>
      </c>
      <c r="B26" s="8">
        <v>9.92</v>
      </c>
      <c r="C26" s="10">
        <f t="shared" si="0"/>
        <v>1.8749999999999999E-2</v>
      </c>
      <c r="D26" s="50">
        <f t="shared" si="1"/>
        <v>0.186</v>
      </c>
    </row>
    <row r="27" spans="1:4" x14ac:dyDescent="0.2">
      <c r="A27" s="4">
        <v>45329</v>
      </c>
      <c r="B27" s="8">
        <v>9.93</v>
      </c>
      <c r="C27" s="10">
        <f t="shared" si="0"/>
        <v>1.8731117824773415E-2</v>
      </c>
      <c r="D27" s="50">
        <f t="shared" si="1"/>
        <v>0.186</v>
      </c>
    </row>
    <row r="28" spans="1:4" x14ac:dyDescent="0.2">
      <c r="A28" s="4">
        <v>45330</v>
      </c>
      <c r="B28" s="8">
        <v>9.81</v>
      </c>
      <c r="C28" s="10">
        <f t="shared" si="0"/>
        <v>1.8960244648318043E-2</v>
      </c>
      <c r="D28" s="50">
        <f t="shared" si="1"/>
        <v>0.186</v>
      </c>
    </row>
    <row r="29" spans="1:4" x14ac:dyDescent="0.2">
      <c r="A29" s="4">
        <v>45331</v>
      </c>
      <c r="B29" s="8">
        <v>10.11</v>
      </c>
      <c r="C29" s="10">
        <f t="shared" si="0"/>
        <v>1.8397626112759646E-2</v>
      </c>
      <c r="D29" s="50">
        <f t="shared" si="1"/>
        <v>0.186</v>
      </c>
    </row>
    <row r="30" spans="1:4" x14ac:dyDescent="0.2">
      <c r="A30" s="4">
        <v>45334</v>
      </c>
      <c r="B30" s="8">
        <v>9.8699999999999992</v>
      </c>
      <c r="C30" s="10">
        <f t="shared" si="0"/>
        <v>1.8844984802431613E-2</v>
      </c>
      <c r="D30" s="50">
        <f t="shared" si="1"/>
        <v>0.186</v>
      </c>
    </row>
    <row r="31" spans="1:4" x14ac:dyDescent="0.2">
      <c r="A31" s="4">
        <v>45335</v>
      </c>
      <c r="B31" s="8">
        <v>9.7799999999999994</v>
      </c>
      <c r="C31" s="10">
        <f t="shared" si="0"/>
        <v>1.9018404907975461E-2</v>
      </c>
      <c r="D31" s="50">
        <f t="shared" si="1"/>
        <v>0.186</v>
      </c>
    </row>
    <row r="32" spans="1:4" x14ac:dyDescent="0.2">
      <c r="A32" s="4">
        <v>45336</v>
      </c>
      <c r="B32" s="8">
        <v>9.6300000000000008</v>
      </c>
      <c r="C32" s="10">
        <f t="shared" si="0"/>
        <v>1.9314641744548285E-2</v>
      </c>
      <c r="D32" s="50">
        <f t="shared" si="1"/>
        <v>0.186</v>
      </c>
    </row>
    <row r="33" spans="1:4" x14ac:dyDescent="0.2">
      <c r="A33" s="4">
        <v>45337</v>
      </c>
      <c r="B33" s="8">
        <v>9.6300000000000008</v>
      </c>
      <c r="C33" s="10">
        <f t="shared" si="0"/>
        <v>1.9314641744548285E-2</v>
      </c>
      <c r="D33" s="50">
        <f t="shared" si="1"/>
        <v>0.186</v>
      </c>
    </row>
    <row r="34" spans="1:4" x14ac:dyDescent="0.2">
      <c r="A34" s="4">
        <v>45338</v>
      </c>
      <c r="B34" s="8">
        <v>9.8000000000000007</v>
      </c>
      <c r="C34" s="10">
        <f t="shared" si="0"/>
        <v>1.8979591836734692E-2</v>
      </c>
      <c r="D34" s="50">
        <f t="shared" si="1"/>
        <v>0.186</v>
      </c>
    </row>
    <row r="35" spans="1:4" x14ac:dyDescent="0.2">
      <c r="A35" s="4">
        <v>45341</v>
      </c>
      <c r="B35" s="8">
        <v>9.5500000000000007</v>
      </c>
      <c r="C35" s="10">
        <f t="shared" si="0"/>
        <v>1.9476439790575915E-2</v>
      </c>
      <c r="D35" s="50">
        <f t="shared" si="1"/>
        <v>0.186</v>
      </c>
    </row>
    <row r="36" spans="1:4" x14ac:dyDescent="0.2">
      <c r="A36" s="4">
        <v>45342</v>
      </c>
      <c r="B36" s="8">
        <v>9.7200000000000006</v>
      </c>
      <c r="C36" s="10">
        <f t="shared" si="0"/>
        <v>1.91358024691358E-2</v>
      </c>
      <c r="D36" s="50">
        <f t="shared" si="1"/>
        <v>0.186</v>
      </c>
    </row>
    <row r="37" spans="1:4" x14ac:dyDescent="0.2">
      <c r="A37" s="4">
        <v>45343</v>
      </c>
      <c r="B37" s="8">
        <v>9.5</v>
      </c>
      <c r="C37" s="10">
        <f t="shared" si="0"/>
        <v>1.9578947368421053E-2</v>
      </c>
      <c r="D37" s="50">
        <f t="shared" si="1"/>
        <v>0.186</v>
      </c>
    </row>
    <row r="38" spans="1:4" x14ac:dyDescent="0.2">
      <c r="A38" s="4">
        <v>45344</v>
      </c>
      <c r="B38" s="8">
        <v>9.86</v>
      </c>
      <c r="C38" s="10">
        <f t="shared" si="0"/>
        <v>1.8864097363083164E-2</v>
      </c>
      <c r="D38" s="50">
        <f t="shared" si="1"/>
        <v>0.186</v>
      </c>
    </row>
    <row r="39" spans="1:4" x14ac:dyDescent="0.2">
      <c r="A39" s="4">
        <v>45345</v>
      </c>
      <c r="B39" s="8">
        <v>9.67</v>
      </c>
      <c r="C39" s="10">
        <f t="shared" si="0"/>
        <v>1.9234746639089969E-2</v>
      </c>
      <c r="D39" s="50">
        <f t="shared" si="1"/>
        <v>0.186</v>
      </c>
    </row>
    <row r="40" spans="1:4" x14ac:dyDescent="0.2">
      <c r="A40" s="4">
        <v>45348</v>
      </c>
      <c r="B40" s="8">
        <v>9.6300000000000008</v>
      </c>
      <c r="C40" s="10">
        <f t="shared" si="0"/>
        <v>1.9314641744548285E-2</v>
      </c>
      <c r="D40" s="50">
        <f t="shared" si="1"/>
        <v>0.186</v>
      </c>
    </row>
    <row r="41" spans="1:4" x14ac:dyDescent="0.2">
      <c r="A41" s="4">
        <v>45349</v>
      </c>
      <c r="B41" s="8">
        <v>9.52</v>
      </c>
      <c r="C41" s="10">
        <f t="shared" si="0"/>
        <v>1.953781512605042E-2</v>
      </c>
      <c r="D41" s="50">
        <f t="shared" si="1"/>
        <v>0.186</v>
      </c>
    </row>
    <row r="42" spans="1:4" x14ac:dyDescent="0.2">
      <c r="A42" s="4">
        <v>45350</v>
      </c>
      <c r="B42" s="8">
        <v>9.66</v>
      </c>
      <c r="C42" s="10">
        <f t="shared" si="0"/>
        <v>1.9254658385093167E-2</v>
      </c>
      <c r="D42" s="50">
        <f t="shared" si="1"/>
        <v>0.186</v>
      </c>
    </row>
    <row r="43" spans="1:4" x14ac:dyDescent="0.2">
      <c r="A43" s="4">
        <v>45351</v>
      </c>
      <c r="B43" s="8">
        <v>9.7200000000000006</v>
      </c>
      <c r="C43" s="10">
        <f t="shared" si="0"/>
        <v>1.91358024691358E-2</v>
      </c>
      <c r="D43" s="50">
        <f t="shared" si="1"/>
        <v>0.186</v>
      </c>
    </row>
    <row r="44" spans="1:4" x14ac:dyDescent="0.2">
      <c r="A44" s="4">
        <v>45352</v>
      </c>
      <c r="B44" s="8">
        <v>9.6199999999999992</v>
      </c>
      <c r="C44" s="10">
        <f t="shared" si="0"/>
        <v>1.9334719334719336E-2</v>
      </c>
      <c r="D44" s="50">
        <f t="shared" si="1"/>
        <v>0.186</v>
      </c>
    </row>
    <row r="45" spans="1:4" x14ac:dyDescent="0.2">
      <c r="A45" s="4">
        <v>45355</v>
      </c>
      <c r="B45" s="8">
        <v>9.7100000000000009</v>
      </c>
      <c r="C45" s="10">
        <f t="shared" si="0"/>
        <v>1.9155509783728115E-2</v>
      </c>
      <c r="D45" s="50">
        <f t="shared" si="1"/>
        <v>0.186</v>
      </c>
    </row>
    <row r="46" spans="1:4" x14ac:dyDescent="0.2">
      <c r="A46" s="4">
        <v>45356</v>
      </c>
      <c r="B46" s="8">
        <v>9.58</v>
      </c>
      <c r="C46" s="10">
        <f t="shared" si="0"/>
        <v>1.9415448851774531E-2</v>
      </c>
      <c r="D46" s="50">
        <f t="shared" si="1"/>
        <v>0.186</v>
      </c>
    </row>
    <row r="47" spans="1:4" x14ac:dyDescent="0.2">
      <c r="A47" s="4">
        <v>45357</v>
      </c>
      <c r="B47" s="8">
        <v>9.9</v>
      </c>
      <c r="C47" s="10">
        <f t="shared" si="0"/>
        <v>1.8787878787878787E-2</v>
      </c>
      <c r="D47" s="50">
        <f t="shared" si="1"/>
        <v>0.186</v>
      </c>
    </row>
    <row r="48" spans="1:4" x14ac:dyDescent="0.2">
      <c r="A48" s="4">
        <v>45358</v>
      </c>
      <c r="B48" s="8">
        <v>9.81</v>
      </c>
      <c r="C48" s="10">
        <f t="shared" si="0"/>
        <v>1.8960244648318043E-2</v>
      </c>
      <c r="D48" s="50">
        <f t="shared" si="1"/>
        <v>0.186</v>
      </c>
    </row>
    <row r="49" spans="1:4" x14ac:dyDescent="0.2">
      <c r="A49" s="4">
        <v>45359</v>
      </c>
      <c r="B49" s="8">
        <v>9.92</v>
      </c>
      <c r="C49" s="10">
        <f t="shared" si="0"/>
        <v>1.8749999999999999E-2</v>
      </c>
      <c r="D49" s="50">
        <f t="shared" si="1"/>
        <v>0.186</v>
      </c>
    </row>
    <row r="50" spans="1:4" x14ac:dyDescent="0.2">
      <c r="A50" s="4">
        <v>45362</v>
      </c>
      <c r="B50" s="8">
        <v>9.9600000000000009</v>
      </c>
      <c r="C50" s="10">
        <f t="shared" si="0"/>
        <v>1.867469879518072E-2</v>
      </c>
      <c r="D50" s="50">
        <f t="shared" si="1"/>
        <v>0.186</v>
      </c>
    </row>
    <row r="51" spans="1:4" x14ac:dyDescent="0.2">
      <c r="A51" s="4">
        <v>45363</v>
      </c>
      <c r="B51" s="8">
        <v>9.75</v>
      </c>
      <c r="C51" s="10">
        <f t="shared" si="0"/>
        <v>1.9076923076923078E-2</v>
      </c>
      <c r="D51" s="50">
        <f t="shared" si="1"/>
        <v>0.186</v>
      </c>
    </row>
    <row r="52" spans="1:4" x14ac:dyDescent="0.2">
      <c r="A52" s="4">
        <v>45364</v>
      </c>
      <c r="B52" s="8">
        <v>9.9700000000000006</v>
      </c>
      <c r="C52" s="10">
        <f t="shared" si="0"/>
        <v>1.8655967903711133E-2</v>
      </c>
      <c r="D52" s="50">
        <f t="shared" si="1"/>
        <v>0.186</v>
      </c>
    </row>
    <row r="53" spans="1:4" x14ac:dyDescent="0.2">
      <c r="A53" s="4">
        <v>45365</v>
      </c>
      <c r="B53" s="8">
        <v>9.9600000000000009</v>
      </c>
      <c r="C53" s="10">
        <f t="shared" si="0"/>
        <v>1.867469879518072E-2</v>
      </c>
      <c r="D53" s="50">
        <f t="shared" si="1"/>
        <v>0.186</v>
      </c>
    </row>
    <row r="54" spans="1:4" x14ac:dyDescent="0.2">
      <c r="A54" s="4">
        <v>45366</v>
      </c>
      <c r="B54" s="8">
        <v>9.7100000000000009</v>
      </c>
      <c r="C54" s="10">
        <f t="shared" si="0"/>
        <v>1.9155509783728115E-2</v>
      </c>
      <c r="D54" s="50">
        <f t="shared" si="1"/>
        <v>0.186</v>
      </c>
    </row>
    <row r="55" spans="1:4" x14ac:dyDescent="0.2">
      <c r="A55" s="4">
        <v>45369</v>
      </c>
      <c r="B55" s="8">
        <v>9.81</v>
      </c>
      <c r="C55" s="10">
        <f t="shared" si="0"/>
        <v>1.8960244648318043E-2</v>
      </c>
      <c r="D55" s="50">
        <f t="shared" si="1"/>
        <v>0.186</v>
      </c>
    </row>
    <row r="56" spans="1:4" x14ac:dyDescent="0.2">
      <c r="A56" s="4">
        <v>45370</v>
      </c>
      <c r="B56" s="8">
        <v>9.75</v>
      </c>
      <c r="C56" s="10">
        <f t="shared" si="0"/>
        <v>1.9076923076923078E-2</v>
      </c>
      <c r="D56" s="50">
        <f t="shared" si="1"/>
        <v>0.186</v>
      </c>
    </row>
    <row r="57" spans="1:4" x14ac:dyDescent="0.2">
      <c r="A57" s="4">
        <v>45371</v>
      </c>
      <c r="B57" s="8">
        <v>9.8800000000000008</v>
      </c>
      <c r="C57" s="10">
        <f t="shared" si="0"/>
        <v>1.8825910931174087E-2</v>
      </c>
      <c r="D57" s="50">
        <f t="shared" si="1"/>
        <v>0.186</v>
      </c>
    </row>
    <row r="58" spans="1:4" x14ac:dyDescent="0.2">
      <c r="A58" s="4">
        <v>45372</v>
      </c>
      <c r="B58" s="8">
        <v>9.77</v>
      </c>
      <c r="C58" s="10">
        <f t="shared" si="0"/>
        <v>1.9037871033776868E-2</v>
      </c>
      <c r="D58" s="50">
        <f t="shared" si="1"/>
        <v>0.186</v>
      </c>
    </row>
    <row r="59" spans="1:4" x14ac:dyDescent="0.2">
      <c r="A59" s="4">
        <v>45373</v>
      </c>
      <c r="B59" s="8">
        <v>9.84</v>
      </c>
      <c r="C59" s="10">
        <f t="shared" si="0"/>
        <v>1.8902439024390243E-2</v>
      </c>
      <c r="D59" s="50">
        <f t="shared" si="1"/>
        <v>0.186</v>
      </c>
    </row>
    <row r="60" spans="1:4" x14ac:dyDescent="0.2">
      <c r="A60" s="4">
        <v>45376</v>
      </c>
      <c r="B60" s="8">
        <v>9.85</v>
      </c>
      <c r="C60" s="10">
        <f t="shared" si="0"/>
        <v>1.8883248730964468E-2</v>
      </c>
      <c r="D60" s="50">
        <f t="shared" si="1"/>
        <v>0.186</v>
      </c>
    </row>
    <row r="61" spans="1:4" x14ac:dyDescent="0.2">
      <c r="A61" s="4">
        <v>45377</v>
      </c>
      <c r="B61" s="8">
        <v>10.01</v>
      </c>
      <c r="C61" s="10">
        <f t="shared" si="0"/>
        <v>1.8581418581418582E-2</v>
      </c>
      <c r="D61" s="50">
        <f t="shared" si="1"/>
        <v>0.186</v>
      </c>
    </row>
    <row r="62" spans="1:4" x14ac:dyDescent="0.2">
      <c r="A62" s="4">
        <v>45378</v>
      </c>
      <c r="B62" s="8">
        <v>9.8699999999999992</v>
      </c>
      <c r="C62" s="10">
        <f t="shared" si="0"/>
        <v>1.8844984802431613E-2</v>
      </c>
      <c r="D62" s="50">
        <f t="shared" si="1"/>
        <v>0.186</v>
      </c>
    </row>
    <row r="63" spans="1:4" x14ac:dyDescent="0.2">
      <c r="A63" s="4">
        <v>45379</v>
      </c>
      <c r="B63" s="8">
        <v>9.92</v>
      </c>
      <c r="C63" s="10">
        <f t="shared" si="0"/>
        <v>1.8749999999999999E-2</v>
      </c>
      <c r="D63" s="50">
        <f t="shared" si="1"/>
        <v>0.186</v>
      </c>
    </row>
    <row r="64" spans="1:4" x14ac:dyDescent="0.2">
      <c r="A64" s="4">
        <v>45384</v>
      </c>
      <c r="B64" s="8">
        <v>9.9700000000000006</v>
      </c>
      <c r="C64" s="10">
        <f t="shared" si="0"/>
        <v>1.8655967903711133E-2</v>
      </c>
      <c r="D64" s="50">
        <f t="shared" si="1"/>
        <v>0.186</v>
      </c>
    </row>
    <row r="65" spans="1:4" x14ac:dyDescent="0.2">
      <c r="A65" s="4">
        <v>45385</v>
      </c>
      <c r="B65" s="8">
        <v>9.9700000000000006</v>
      </c>
      <c r="C65" s="10">
        <f t="shared" si="0"/>
        <v>1.8655967903711133E-2</v>
      </c>
      <c r="D65" s="50">
        <f t="shared" si="1"/>
        <v>0.186</v>
      </c>
    </row>
    <row r="66" spans="1:4" x14ac:dyDescent="0.2">
      <c r="A66" s="4">
        <v>45386</v>
      </c>
      <c r="B66" s="8">
        <v>10.039999999999999</v>
      </c>
      <c r="C66" s="10">
        <f t="shared" si="0"/>
        <v>1.852589641434263E-2</v>
      </c>
      <c r="D66" s="50">
        <f t="shared" si="1"/>
        <v>0.186</v>
      </c>
    </row>
    <row r="67" spans="1:4" x14ac:dyDescent="0.2">
      <c r="A67" s="4">
        <v>45387</v>
      </c>
      <c r="B67" s="8">
        <v>9.98</v>
      </c>
      <c r="C67" s="10">
        <f t="shared" ref="C67:C130" si="2">D67/B67</f>
        <v>1.8637274549098196E-2</v>
      </c>
      <c r="D67" s="50">
        <f t="shared" ref="D67:D130" si="3">0.0651+0.1209</f>
        <v>0.186</v>
      </c>
    </row>
    <row r="68" spans="1:4" x14ac:dyDescent="0.2">
      <c r="A68" s="4">
        <v>45390</v>
      </c>
      <c r="B68" s="8">
        <v>10.050000000000001</v>
      </c>
      <c r="C68" s="10">
        <f t="shared" si="2"/>
        <v>1.8507462686567163E-2</v>
      </c>
      <c r="D68" s="50">
        <f t="shared" si="3"/>
        <v>0.186</v>
      </c>
    </row>
    <row r="69" spans="1:4" x14ac:dyDescent="0.2">
      <c r="A69" s="4">
        <v>45391</v>
      </c>
      <c r="B69" s="8">
        <v>9.9700000000000006</v>
      </c>
      <c r="C69" s="10">
        <f t="shared" si="2"/>
        <v>1.8655967903711133E-2</v>
      </c>
      <c r="D69" s="50">
        <f t="shared" si="3"/>
        <v>0.186</v>
      </c>
    </row>
    <row r="70" spans="1:4" x14ac:dyDescent="0.2">
      <c r="A70" s="4">
        <v>45392</v>
      </c>
      <c r="B70" s="8">
        <v>10.050000000000001</v>
      </c>
      <c r="C70" s="10">
        <f t="shared" si="2"/>
        <v>1.8507462686567163E-2</v>
      </c>
      <c r="D70" s="50">
        <f t="shared" si="3"/>
        <v>0.186</v>
      </c>
    </row>
    <row r="71" spans="1:4" x14ac:dyDescent="0.2">
      <c r="A71" s="4">
        <v>45393</v>
      </c>
      <c r="B71" s="8">
        <v>10.199999999999999</v>
      </c>
      <c r="C71" s="10">
        <f t="shared" si="2"/>
        <v>1.8235294117647061E-2</v>
      </c>
      <c r="D71" s="50">
        <f t="shared" si="3"/>
        <v>0.186</v>
      </c>
    </row>
    <row r="72" spans="1:4" x14ac:dyDescent="0.2">
      <c r="A72" s="4">
        <v>45394</v>
      </c>
      <c r="B72" s="8">
        <v>10.130000000000001</v>
      </c>
      <c r="C72" s="10">
        <f t="shared" si="2"/>
        <v>1.8361303060217174E-2</v>
      </c>
      <c r="D72" s="50">
        <f t="shared" si="3"/>
        <v>0.186</v>
      </c>
    </row>
    <row r="73" spans="1:4" x14ac:dyDescent="0.2">
      <c r="A73" s="4">
        <v>45397</v>
      </c>
      <c r="B73" s="8">
        <v>9.98</v>
      </c>
      <c r="C73" s="10">
        <f t="shared" si="2"/>
        <v>1.8637274549098196E-2</v>
      </c>
      <c r="D73" s="50">
        <f t="shared" si="3"/>
        <v>0.186</v>
      </c>
    </row>
    <row r="74" spans="1:4" x14ac:dyDescent="0.2">
      <c r="A74" s="4">
        <v>45398</v>
      </c>
      <c r="B74" s="8">
        <v>10</v>
      </c>
      <c r="C74" s="10">
        <f t="shared" si="2"/>
        <v>1.8599999999999998E-2</v>
      </c>
      <c r="D74" s="50">
        <f t="shared" si="3"/>
        <v>0.186</v>
      </c>
    </row>
    <row r="75" spans="1:4" x14ac:dyDescent="0.2">
      <c r="A75" s="4">
        <v>45399</v>
      </c>
      <c r="B75" s="8">
        <v>10.16</v>
      </c>
      <c r="C75" s="10">
        <f t="shared" si="2"/>
        <v>1.8307086614173226E-2</v>
      </c>
      <c r="D75" s="50">
        <f t="shared" si="3"/>
        <v>0.186</v>
      </c>
    </row>
    <row r="76" spans="1:4" x14ac:dyDescent="0.2">
      <c r="A76" s="4">
        <v>45400</v>
      </c>
      <c r="B76" s="8">
        <v>9.92</v>
      </c>
      <c r="C76" s="10">
        <f t="shared" si="2"/>
        <v>1.8749999999999999E-2</v>
      </c>
      <c r="D76" s="50">
        <f t="shared" si="3"/>
        <v>0.186</v>
      </c>
    </row>
    <row r="77" spans="1:4" x14ac:dyDescent="0.2">
      <c r="A77" s="4">
        <v>45401</v>
      </c>
      <c r="B77" s="8">
        <v>9.99</v>
      </c>
      <c r="C77" s="10">
        <f t="shared" si="2"/>
        <v>1.8618618618618618E-2</v>
      </c>
      <c r="D77" s="50">
        <f t="shared" si="3"/>
        <v>0.186</v>
      </c>
    </row>
    <row r="78" spans="1:4" x14ac:dyDescent="0.2">
      <c r="A78" s="4">
        <v>45404</v>
      </c>
      <c r="B78" s="8">
        <v>9.9499999999999993</v>
      </c>
      <c r="C78" s="10">
        <f t="shared" si="2"/>
        <v>1.8693467336683419E-2</v>
      </c>
      <c r="D78" s="50">
        <f t="shared" si="3"/>
        <v>0.186</v>
      </c>
    </row>
    <row r="79" spans="1:4" x14ac:dyDescent="0.2">
      <c r="A79" s="4">
        <v>45405</v>
      </c>
      <c r="B79" s="8">
        <v>9.93</v>
      </c>
      <c r="C79" s="10">
        <f t="shared" si="2"/>
        <v>1.8731117824773415E-2</v>
      </c>
      <c r="D79" s="50">
        <f t="shared" si="3"/>
        <v>0.186</v>
      </c>
    </row>
    <row r="80" spans="1:4" x14ac:dyDescent="0.2">
      <c r="A80" s="4">
        <v>45406</v>
      </c>
      <c r="B80" s="8">
        <v>10.029999999999999</v>
      </c>
      <c r="C80" s="10">
        <f t="shared" si="2"/>
        <v>1.8544366899302094E-2</v>
      </c>
      <c r="D80" s="50">
        <f t="shared" si="3"/>
        <v>0.186</v>
      </c>
    </row>
    <row r="81" spans="1:4" x14ac:dyDescent="0.2">
      <c r="A81" s="4">
        <v>45408</v>
      </c>
      <c r="B81" s="8">
        <v>9.92</v>
      </c>
      <c r="C81" s="10">
        <f t="shared" si="2"/>
        <v>1.8749999999999999E-2</v>
      </c>
      <c r="D81" s="50">
        <f t="shared" si="3"/>
        <v>0.186</v>
      </c>
    </row>
    <row r="82" spans="1:4" x14ac:dyDescent="0.2">
      <c r="A82" s="4">
        <v>45411</v>
      </c>
      <c r="B82" s="8">
        <v>9.9499999999999993</v>
      </c>
      <c r="C82" s="10">
        <f t="shared" si="2"/>
        <v>1.8693467336683419E-2</v>
      </c>
      <c r="D82" s="50">
        <f t="shared" si="3"/>
        <v>0.186</v>
      </c>
    </row>
    <row r="83" spans="1:4" x14ac:dyDescent="0.2">
      <c r="A83" s="4">
        <v>45412</v>
      </c>
      <c r="B83" s="8">
        <v>10</v>
      </c>
      <c r="C83" s="10">
        <f t="shared" si="2"/>
        <v>1.8599999999999998E-2</v>
      </c>
      <c r="D83" s="50">
        <f t="shared" si="3"/>
        <v>0.186</v>
      </c>
    </row>
    <row r="84" spans="1:4" x14ac:dyDescent="0.2">
      <c r="A84" s="4">
        <v>45413</v>
      </c>
      <c r="B84" s="8">
        <v>9.9700000000000006</v>
      </c>
      <c r="C84" s="10">
        <f t="shared" si="2"/>
        <v>1.8655967903711133E-2</v>
      </c>
      <c r="D84" s="50">
        <f t="shared" si="3"/>
        <v>0.186</v>
      </c>
    </row>
    <row r="85" spans="1:4" x14ac:dyDescent="0.2">
      <c r="A85" s="4">
        <v>45414</v>
      </c>
      <c r="B85" s="8">
        <v>10.02</v>
      </c>
      <c r="C85" s="10">
        <f t="shared" si="2"/>
        <v>1.8562874251497007E-2</v>
      </c>
      <c r="D85" s="50">
        <f t="shared" si="3"/>
        <v>0.186</v>
      </c>
    </row>
    <row r="86" spans="1:4" x14ac:dyDescent="0.2">
      <c r="A86" s="4">
        <v>45415</v>
      </c>
      <c r="B86" s="8">
        <v>9.9499999999999993</v>
      </c>
      <c r="C86" s="10">
        <f t="shared" si="2"/>
        <v>1.8693467336683419E-2</v>
      </c>
      <c r="D86" s="50">
        <f t="shared" si="3"/>
        <v>0.186</v>
      </c>
    </row>
    <row r="87" spans="1:4" x14ac:dyDescent="0.2">
      <c r="A87" s="4">
        <v>45418</v>
      </c>
      <c r="B87" s="8">
        <v>9.68</v>
      </c>
      <c r="C87" s="10">
        <f t="shared" si="2"/>
        <v>1.921487603305785E-2</v>
      </c>
      <c r="D87" s="50">
        <f t="shared" si="3"/>
        <v>0.186</v>
      </c>
    </row>
    <row r="88" spans="1:4" x14ac:dyDescent="0.2">
      <c r="A88" s="4">
        <v>45419</v>
      </c>
      <c r="B88" s="8">
        <v>9.73</v>
      </c>
      <c r="C88" s="10">
        <f t="shared" si="2"/>
        <v>1.9116135662898253E-2</v>
      </c>
      <c r="D88" s="50">
        <f t="shared" si="3"/>
        <v>0.186</v>
      </c>
    </row>
    <row r="89" spans="1:4" x14ac:dyDescent="0.2">
      <c r="A89" s="4">
        <v>45420</v>
      </c>
      <c r="B89" s="8">
        <v>9.89</v>
      </c>
      <c r="C89" s="10">
        <f t="shared" si="2"/>
        <v>1.8806875631951464E-2</v>
      </c>
      <c r="D89" s="50">
        <f t="shared" si="3"/>
        <v>0.186</v>
      </c>
    </row>
    <row r="90" spans="1:4" x14ac:dyDescent="0.2">
      <c r="A90" s="4">
        <v>45421</v>
      </c>
      <c r="B90" s="8">
        <v>9.7799999999999994</v>
      </c>
      <c r="C90" s="10">
        <f t="shared" si="2"/>
        <v>1.9018404907975461E-2</v>
      </c>
      <c r="D90" s="50">
        <f t="shared" si="3"/>
        <v>0.186</v>
      </c>
    </row>
    <row r="91" spans="1:4" x14ac:dyDescent="0.2">
      <c r="A91" s="4">
        <v>45422</v>
      </c>
      <c r="B91" s="8">
        <v>9.7100000000000009</v>
      </c>
      <c r="C91" s="10">
        <f t="shared" si="2"/>
        <v>1.9155509783728115E-2</v>
      </c>
      <c r="D91" s="50">
        <f t="shared" si="3"/>
        <v>0.186</v>
      </c>
    </row>
    <row r="92" spans="1:4" x14ac:dyDescent="0.2">
      <c r="A92" s="4">
        <v>45425</v>
      </c>
      <c r="B92" s="8">
        <v>9.6300000000000008</v>
      </c>
      <c r="C92" s="10">
        <f t="shared" si="2"/>
        <v>1.9314641744548285E-2</v>
      </c>
      <c r="D92" s="50">
        <f t="shared" si="3"/>
        <v>0.186</v>
      </c>
    </row>
    <row r="93" spans="1:4" x14ac:dyDescent="0.2">
      <c r="A93" s="4">
        <v>45426</v>
      </c>
      <c r="B93" s="8">
        <v>9.48</v>
      </c>
      <c r="C93" s="10">
        <f t="shared" si="2"/>
        <v>1.9620253164556962E-2</v>
      </c>
      <c r="D93" s="50">
        <f t="shared" si="3"/>
        <v>0.186</v>
      </c>
    </row>
    <row r="94" spans="1:4" x14ac:dyDescent="0.2">
      <c r="A94" s="4">
        <v>45427</v>
      </c>
      <c r="B94" s="8">
        <v>9.5500000000000007</v>
      </c>
      <c r="C94" s="10">
        <f t="shared" si="2"/>
        <v>1.9476439790575915E-2</v>
      </c>
      <c r="D94" s="50">
        <f t="shared" si="3"/>
        <v>0.186</v>
      </c>
    </row>
    <row r="95" spans="1:4" x14ac:dyDescent="0.2">
      <c r="A95" s="4">
        <v>45428</v>
      </c>
      <c r="B95" s="8">
        <v>9.84</v>
      </c>
      <c r="C95" s="10">
        <f t="shared" si="2"/>
        <v>1.8902439024390243E-2</v>
      </c>
      <c r="D95" s="50">
        <f t="shared" si="3"/>
        <v>0.186</v>
      </c>
    </row>
    <row r="96" spans="1:4" x14ac:dyDescent="0.2">
      <c r="A96" s="4">
        <v>45429</v>
      </c>
      <c r="B96" s="8">
        <v>9.94</v>
      </c>
      <c r="C96" s="10">
        <f t="shared" si="2"/>
        <v>1.8712273641851108E-2</v>
      </c>
      <c r="D96" s="50">
        <f t="shared" si="3"/>
        <v>0.186</v>
      </c>
    </row>
    <row r="97" spans="1:4" x14ac:dyDescent="0.2">
      <c r="A97" s="4">
        <v>45432</v>
      </c>
      <c r="B97" s="8">
        <v>10.35</v>
      </c>
      <c r="C97" s="10">
        <f t="shared" si="2"/>
        <v>1.7971014492753623E-2</v>
      </c>
      <c r="D97" s="50">
        <f t="shared" si="3"/>
        <v>0.186</v>
      </c>
    </row>
    <row r="98" spans="1:4" x14ac:dyDescent="0.2">
      <c r="A98" s="4">
        <v>45433</v>
      </c>
      <c r="B98" s="8">
        <v>9.75</v>
      </c>
      <c r="C98" s="10">
        <f t="shared" si="2"/>
        <v>1.9076923076923078E-2</v>
      </c>
      <c r="D98" s="50">
        <f t="shared" si="3"/>
        <v>0.186</v>
      </c>
    </row>
    <row r="99" spans="1:4" x14ac:dyDescent="0.2">
      <c r="A99" s="4">
        <v>45434</v>
      </c>
      <c r="B99" s="8">
        <v>9.8800000000000008</v>
      </c>
      <c r="C99" s="10">
        <f t="shared" si="2"/>
        <v>1.8825910931174087E-2</v>
      </c>
      <c r="D99" s="50">
        <f t="shared" si="3"/>
        <v>0.186</v>
      </c>
    </row>
    <row r="100" spans="1:4" x14ac:dyDescent="0.2">
      <c r="A100" s="4">
        <v>45435</v>
      </c>
      <c r="B100" s="8">
        <v>10.1</v>
      </c>
      <c r="C100" s="10">
        <f t="shared" si="2"/>
        <v>1.8415841584158415E-2</v>
      </c>
      <c r="D100" s="50">
        <f t="shared" si="3"/>
        <v>0.186</v>
      </c>
    </row>
    <row r="101" spans="1:4" x14ac:dyDescent="0.2">
      <c r="A101" s="4">
        <v>45436</v>
      </c>
      <c r="B101" s="8">
        <v>10.050000000000001</v>
      </c>
      <c r="C101" s="10">
        <f t="shared" si="2"/>
        <v>1.8507462686567163E-2</v>
      </c>
      <c r="D101" s="50">
        <f t="shared" si="3"/>
        <v>0.186</v>
      </c>
    </row>
    <row r="102" spans="1:4" x14ac:dyDescent="0.2">
      <c r="A102" s="4">
        <v>45439</v>
      </c>
      <c r="B102" s="8">
        <v>10.06</v>
      </c>
      <c r="C102" s="10">
        <f t="shared" si="2"/>
        <v>1.8489065606361828E-2</v>
      </c>
      <c r="D102" s="50">
        <f t="shared" si="3"/>
        <v>0.186</v>
      </c>
    </row>
    <row r="103" spans="1:4" x14ac:dyDescent="0.2">
      <c r="A103" s="4">
        <v>45440</v>
      </c>
      <c r="B103" s="8">
        <v>10.08</v>
      </c>
      <c r="C103" s="10">
        <f t="shared" si="2"/>
        <v>1.8452380952380953E-2</v>
      </c>
      <c r="D103" s="50">
        <f t="shared" si="3"/>
        <v>0.186</v>
      </c>
    </row>
    <row r="104" spans="1:4" x14ac:dyDescent="0.2">
      <c r="A104" s="4">
        <v>45441</v>
      </c>
      <c r="B104" s="8">
        <v>9.9499999999999993</v>
      </c>
      <c r="C104" s="10">
        <f t="shared" si="2"/>
        <v>1.8693467336683419E-2</v>
      </c>
      <c r="D104" s="50">
        <f t="shared" si="3"/>
        <v>0.186</v>
      </c>
    </row>
    <row r="105" spans="1:4" x14ac:dyDescent="0.2">
      <c r="A105" s="4">
        <v>45442</v>
      </c>
      <c r="B105" s="8">
        <v>9.7799999999999994</v>
      </c>
      <c r="C105" s="10">
        <f t="shared" si="2"/>
        <v>1.9018404907975461E-2</v>
      </c>
      <c r="D105" s="50">
        <f t="shared" si="3"/>
        <v>0.186</v>
      </c>
    </row>
    <row r="106" spans="1:4" x14ac:dyDescent="0.2">
      <c r="A106" s="4">
        <v>45443</v>
      </c>
      <c r="B106" s="8">
        <v>9.85</v>
      </c>
      <c r="C106" s="10">
        <f t="shared" si="2"/>
        <v>1.8883248730964468E-2</v>
      </c>
      <c r="D106" s="50">
        <f t="shared" si="3"/>
        <v>0.186</v>
      </c>
    </row>
    <row r="107" spans="1:4" x14ac:dyDescent="0.2">
      <c r="A107" s="4">
        <v>45446</v>
      </c>
      <c r="B107" s="8">
        <v>9.9600000000000009</v>
      </c>
      <c r="C107" s="10">
        <f t="shared" si="2"/>
        <v>1.867469879518072E-2</v>
      </c>
      <c r="D107" s="50">
        <f t="shared" si="3"/>
        <v>0.186</v>
      </c>
    </row>
    <row r="108" spans="1:4" x14ac:dyDescent="0.2">
      <c r="A108" s="4">
        <v>45447</v>
      </c>
      <c r="B108" s="8">
        <v>10.1</v>
      </c>
      <c r="C108" s="10">
        <f t="shared" si="2"/>
        <v>1.8415841584158415E-2</v>
      </c>
      <c r="D108" s="50">
        <f t="shared" si="3"/>
        <v>0.186</v>
      </c>
    </row>
    <row r="109" spans="1:4" x14ac:dyDescent="0.2">
      <c r="A109" s="4">
        <v>45448</v>
      </c>
      <c r="B109" s="8">
        <v>10.31</v>
      </c>
      <c r="C109" s="10">
        <f t="shared" si="2"/>
        <v>1.804073714839961E-2</v>
      </c>
      <c r="D109" s="50">
        <f t="shared" si="3"/>
        <v>0.186</v>
      </c>
    </row>
    <row r="110" spans="1:4" x14ac:dyDescent="0.2">
      <c r="A110" s="4">
        <v>45449</v>
      </c>
      <c r="B110" s="8">
        <v>10.61</v>
      </c>
      <c r="C110" s="10">
        <f t="shared" si="2"/>
        <v>1.7530631479736099E-2</v>
      </c>
      <c r="D110" s="50">
        <f t="shared" si="3"/>
        <v>0.186</v>
      </c>
    </row>
    <row r="111" spans="1:4" x14ac:dyDescent="0.2">
      <c r="A111" s="4">
        <v>45450</v>
      </c>
      <c r="B111" s="8">
        <v>10.35</v>
      </c>
      <c r="C111" s="10">
        <f t="shared" si="2"/>
        <v>1.7971014492753623E-2</v>
      </c>
      <c r="D111" s="50">
        <f t="shared" si="3"/>
        <v>0.186</v>
      </c>
    </row>
    <row r="112" spans="1:4" x14ac:dyDescent="0.2">
      <c r="A112" s="4">
        <v>45454</v>
      </c>
      <c r="B112" s="8">
        <v>10</v>
      </c>
      <c r="C112" s="10">
        <f t="shared" si="2"/>
        <v>1.8599999999999998E-2</v>
      </c>
      <c r="D112" s="50">
        <f t="shared" si="3"/>
        <v>0.186</v>
      </c>
    </row>
    <row r="113" spans="1:4" x14ac:dyDescent="0.2">
      <c r="A113" s="4">
        <v>45455</v>
      </c>
      <c r="B113" s="8">
        <v>9.92</v>
      </c>
      <c r="C113" s="10">
        <f t="shared" si="2"/>
        <v>1.8749999999999999E-2</v>
      </c>
      <c r="D113" s="50">
        <f t="shared" si="3"/>
        <v>0.186</v>
      </c>
    </row>
    <row r="114" spans="1:4" x14ac:dyDescent="0.2">
      <c r="A114" s="4">
        <v>45456</v>
      </c>
      <c r="B114" s="8">
        <v>9.8800000000000008</v>
      </c>
      <c r="C114" s="10">
        <f t="shared" si="2"/>
        <v>1.8825910931174087E-2</v>
      </c>
      <c r="D114" s="50">
        <f t="shared" si="3"/>
        <v>0.186</v>
      </c>
    </row>
    <row r="115" spans="1:4" x14ac:dyDescent="0.2">
      <c r="A115" s="4">
        <v>45457</v>
      </c>
      <c r="B115" s="8">
        <v>10.06</v>
      </c>
      <c r="C115" s="10">
        <f t="shared" si="2"/>
        <v>1.8489065606361828E-2</v>
      </c>
      <c r="D115" s="50">
        <f t="shared" si="3"/>
        <v>0.186</v>
      </c>
    </row>
    <row r="116" spans="1:4" x14ac:dyDescent="0.2">
      <c r="A116" s="4">
        <v>45460</v>
      </c>
      <c r="B116" s="8">
        <v>10.06</v>
      </c>
      <c r="C116" s="10">
        <f t="shared" si="2"/>
        <v>1.8489065606361828E-2</v>
      </c>
      <c r="D116" s="50">
        <f t="shared" si="3"/>
        <v>0.186</v>
      </c>
    </row>
    <row r="117" spans="1:4" x14ac:dyDescent="0.2">
      <c r="A117" s="4">
        <v>45461</v>
      </c>
      <c r="B117" s="8">
        <v>10.55</v>
      </c>
      <c r="C117" s="10">
        <f t="shared" si="2"/>
        <v>1.7630331753554503E-2</v>
      </c>
      <c r="D117" s="50">
        <f t="shared" si="3"/>
        <v>0.186</v>
      </c>
    </row>
    <row r="118" spans="1:4" x14ac:dyDescent="0.2">
      <c r="A118" s="4">
        <v>45462</v>
      </c>
      <c r="B118" s="8">
        <v>10.25</v>
      </c>
      <c r="C118" s="10">
        <f t="shared" si="2"/>
        <v>1.8146341463414633E-2</v>
      </c>
      <c r="D118" s="50">
        <f t="shared" si="3"/>
        <v>0.186</v>
      </c>
    </row>
    <row r="119" spans="1:4" x14ac:dyDescent="0.2">
      <c r="A119" s="4">
        <v>45463</v>
      </c>
      <c r="B119" s="8">
        <v>10.26</v>
      </c>
      <c r="C119" s="10">
        <f t="shared" si="2"/>
        <v>1.8128654970760234E-2</v>
      </c>
      <c r="D119" s="50">
        <f t="shared" si="3"/>
        <v>0.186</v>
      </c>
    </row>
    <row r="120" spans="1:4" x14ac:dyDescent="0.2">
      <c r="A120" s="4">
        <v>45464</v>
      </c>
      <c r="B120" s="8">
        <v>10.029999999999999</v>
      </c>
      <c r="C120" s="10">
        <f t="shared" si="2"/>
        <v>1.8544366899302094E-2</v>
      </c>
      <c r="D120" s="50">
        <f t="shared" si="3"/>
        <v>0.186</v>
      </c>
    </row>
    <row r="121" spans="1:4" x14ac:dyDescent="0.2">
      <c r="A121" s="4">
        <v>45467</v>
      </c>
      <c r="B121" s="8">
        <v>10.07</v>
      </c>
      <c r="C121" s="10">
        <f t="shared" si="2"/>
        <v>1.8470705064548162E-2</v>
      </c>
      <c r="D121" s="50">
        <f t="shared" si="3"/>
        <v>0.186</v>
      </c>
    </row>
    <row r="122" spans="1:4" x14ac:dyDescent="0.2">
      <c r="A122" s="4">
        <v>45468</v>
      </c>
      <c r="B122" s="8">
        <v>10.11</v>
      </c>
      <c r="C122" s="10">
        <f t="shared" si="2"/>
        <v>1.8397626112759646E-2</v>
      </c>
      <c r="D122" s="50">
        <f t="shared" si="3"/>
        <v>0.186</v>
      </c>
    </row>
    <row r="123" spans="1:4" x14ac:dyDescent="0.2">
      <c r="A123" s="4">
        <v>45469</v>
      </c>
      <c r="B123" s="8">
        <v>10.220000000000001</v>
      </c>
      <c r="C123" s="10">
        <f t="shared" si="2"/>
        <v>1.8199608610567512E-2</v>
      </c>
      <c r="D123" s="50">
        <f t="shared" si="3"/>
        <v>0.186</v>
      </c>
    </row>
    <row r="124" spans="1:4" x14ac:dyDescent="0.2">
      <c r="A124" s="4">
        <v>45470</v>
      </c>
      <c r="B124" s="8">
        <v>10.18</v>
      </c>
      <c r="C124" s="10">
        <f t="shared" si="2"/>
        <v>1.8271119842829076E-2</v>
      </c>
      <c r="D124" s="50">
        <f t="shared" si="3"/>
        <v>0.186</v>
      </c>
    </row>
    <row r="125" spans="1:4" x14ac:dyDescent="0.2">
      <c r="A125" s="4">
        <v>45471</v>
      </c>
      <c r="B125" s="8">
        <v>10.34</v>
      </c>
      <c r="C125" s="10">
        <f t="shared" si="2"/>
        <v>1.7988394584139266E-2</v>
      </c>
      <c r="D125" s="50">
        <f t="shared" si="3"/>
        <v>0.186</v>
      </c>
    </row>
    <row r="126" spans="1:4" x14ac:dyDescent="0.2">
      <c r="A126" s="4">
        <v>45474</v>
      </c>
      <c r="B126" s="8">
        <v>10.18</v>
      </c>
      <c r="C126" s="10">
        <f t="shared" si="2"/>
        <v>1.8271119842829076E-2</v>
      </c>
      <c r="D126" s="50">
        <f t="shared" si="3"/>
        <v>0.186</v>
      </c>
    </row>
    <row r="127" spans="1:4" x14ac:dyDescent="0.2">
      <c r="A127" s="4">
        <v>45475</v>
      </c>
      <c r="B127" s="8">
        <v>10.19</v>
      </c>
      <c r="C127" s="10">
        <f t="shared" si="2"/>
        <v>1.8253189401373895E-2</v>
      </c>
      <c r="D127" s="50">
        <f t="shared" si="3"/>
        <v>0.186</v>
      </c>
    </row>
    <row r="128" spans="1:4" x14ac:dyDescent="0.2">
      <c r="A128" s="4">
        <v>45476</v>
      </c>
      <c r="B128" s="8">
        <v>10.210000000000001</v>
      </c>
      <c r="C128" s="10">
        <f t="shared" si="2"/>
        <v>1.8217433888344757E-2</v>
      </c>
      <c r="D128" s="50">
        <f t="shared" si="3"/>
        <v>0.186</v>
      </c>
    </row>
    <row r="129" spans="1:4" x14ac:dyDescent="0.2">
      <c r="A129" s="4">
        <v>45477</v>
      </c>
      <c r="B129" s="8">
        <v>10.1</v>
      </c>
      <c r="C129" s="10">
        <f t="shared" si="2"/>
        <v>1.8415841584158415E-2</v>
      </c>
      <c r="D129" s="50">
        <f t="shared" si="3"/>
        <v>0.186</v>
      </c>
    </row>
    <row r="130" spans="1:4" x14ac:dyDescent="0.2">
      <c r="A130" s="4">
        <v>45478</v>
      </c>
      <c r="B130" s="8">
        <v>10.11</v>
      </c>
      <c r="C130" s="10">
        <f t="shared" si="2"/>
        <v>1.8397626112759646E-2</v>
      </c>
      <c r="D130" s="50">
        <f t="shared" si="3"/>
        <v>0.186</v>
      </c>
    </row>
    <row r="131" spans="1:4" x14ac:dyDescent="0.2">
      <c r="A131" s="4">
        <v>45481</v>
      </c>
      <c r="B131" s="8">
        <v>10.32</v>
      </c>
      <c r="C131" s="10">
        <f t="shared" ref="C131:C194" si="4">D131/B131</f>
        <v>1.8023255813953486E-2</v>
      </c>
      <c r="D131" s="50">
        <f t="shared" ref="D131:D194" si="5">0.0651+0.1209</f>
        <v>0.186</v>
      </c>
    </row>
    <row r="132" spans="1:4" x14ac:dyDescent="0.2">
      <c r="A132" s="4">
        <v>45482</v>
      </c>
      <c r="B132" s="8">
        <v>10.130000000000001</v>
      </c>
      <c r="C132" s="10">
        <f t="shared" si="4"/>
        <v>1.8361303060217174E-2</v>
      </c>
      <c r="D132" s="50">
        <f t="shared" si="5"/>
        <v>0.186</v>
      </c>
    </row>
    <row r="133" spans="1:4" x14ac:dyDescent="0.2">
      <c r="A133" s="4">
        <v>45483</v>
      </c>
      <c r="B133" s="8">
        <v>10.06</v>
      </c>
      <c r="C133" s="10">
        <f t="shared" si="4"/>
        <v>1.8489065606361828E-2</v>
      </c>
      <c r="D133" s="50">
        <f t="shared" si="5"/>
        <v>0.186</v>
      </c>
    </row>
    <row r="134" spans="1:4" x14ac:dyDescent="0.2">
      <c r="A134" s="4">
        <v>45484</v>
      </c>
      <c r="B134" s="8">
        <v>10.08</v>
      </c>
      <c r="C134" s="10">
        <f t="shared" si="4"/>
        <v>1.8452380952380953E-2</v>
      </c>
      <c r="D134" s="50">
        <f t="shared" si="5"/>
        <v>0.186</v>
      </c>
    </row>
    <row r="135" spans="1:4" x14ac:dyDescent="0.2">
      <c r="A135" s="4">
        <v>45485</v>
      </c>
      <c r="B135" s="8">
        <v>9.8800000000000008</v>
      </c>
      <c r="C135" s="10">
        <f t="shared" si="4"/>
        <v>1.8825910931174087E-2</v>
      </c>
      <c r="D135" s="50">
        <f t="shared" si="5"/>
        <v>0.186</v>
      </c>
    </row>
    <row r="136" spans="1:4" x14ac:dyDescent="0.2">
      <c r="A136" s="4">
        <v>45488</v>
      </c>
      <c r="B136" s="8">
        <v>9.69</v>
      </c>
      <c r="C136" s="10">
        <f t="shared" si="4"/>
        <v>1.9195046439628483E-2</v>
      </c>
      <c r="D136" s="50">
        <f t="shared" si="5"/>
        <v>0.186</v>
      </c>
    </row>
    <row r="137" spans="1:4" x14ac:dyDescent="0.2">
      <c r="A137" s="4">
        <v>45489</v>
      </c>
      <c r="B137" s="8">
        <v>9.56</v>
      </c>
      <c r="C137" s="10">
        <f t="shared" si="4"/>
        <v>1.9456066945606695E-2</v>
      </c>
      <c r="D137" s="50">
        <f t="shared" si="5"/>
        <v>0.186</v>
      </c>
    </row>
    <row r="138" spans="1:4" x14ac:dyDescent="0.2">
      <c r="A138" s="4">
        <v>45490</v>
      </c>
      <c r="B138" s="8">
        <v>9.73</v>
      </c>
      <c r="C138" s="10">
        <f t="shared" si="4"/>
        <v>1.9116135662898253E-2</v>
      </c>
      <c r="D138" s="50">
        <f t="shared" si="5"/>
        <v>0.186</v>
      </c>
    </row>
    <row r="139" spans="1:4" x14ac:dyDescent="0.2">
      <c r="A139" s="4">
        <v>45491</v>
      </c>
      <c r="B139" s="8">
        <v>9.86</v>
      </c>
      <c r="C139" s="10">
        <f t="shared" si="4"/>
        <v>1.8864097363083164E-2</v>
      </c>
      <c r="D139" s="50">
        <f t="shared" si="5"/>
        <v>0.186</v>
      </c>
    </row>
    <row r="140" spans="1:4" x14ac:dyDescent="0.2">
      <c r="A140" s="4">
        <v>45492</v>
      </c>
      <c r="B140" s="8">
        <v>9.74</v>
      </c>
      <c r="C140" s="10">
        <f t="shared" si="4"/>
        <v>1.9096509240246407E-2</v>
      </c>
      <c r="D140" s="50">
        <f t="shared" si="5"/>
        <v>0.186</v>
      </c>
    </row>
    <row r="141" spans="1:4" x14ac:dyDescent="0.2">
      <c r="A141" s="4">
        <v>45495</v>
      </c>
      <c r="B141" s="8">
        <v>9.6999999999999993</v>
      </c>
      <c r="C141" s="10">
        <f t="shared" si="4"/>
        <v>1.9175257731958766E-2</v>
      </c>
      <c r="D141" s="50">
        <f t="shared" si="5"/>
        <v>0.186</v>
      </c>
    </row>
    <row r="142" spans="1:4" x14ac:dyDescent="0.2">
      <c r="A142" s="4">
        <v>45496</v>
      </c>
      <c r="B142" s="8">
        <v>9.81</v>
      </c>
      <c r="C142" s="10">
        <f t="shared" si="4"/>
        <v>1.8960244648318043E-2</v>
      </c>
      <c r="D142" s="50">
        <f t="shared" si="5"/>
        <v>0.186</v>
      </c>
    </row>
    <row r="143" spans="1:4" x14ac:dyDescent="0.2">
      <c r="A143" s="4">
        <v>45497</v>
      </c>
      <c r="B143" s="8">
        <v>10</v>
      </c>
      <c r="C143" s="10">
        <f t="shared" si="4"/>
        <v>1.8599999999999998E-2</v>
      </c>
      <c r="D143" s="50">
        <f t="shared" si="5"/>
        <v>0.186</v>
      </c>
    </row>
    <row r="144" spans="1:4" x14ac:dyDescent="0.2">
      <c r="A144" s="4">
        <v>45498</v>
      </c>
      <c r="B144" s="8">
        <v>9.85</v>
      </c>
      <c r="C144" s="10">
        <f t="shared" si="4"/>
        <v>1.8883248730964468E-2</v>
      </c>
      <c r="D144" s="50">
        <f t="shared" si="5"/>
        <v>0.186</v>
      </c>
    </row>
    <row r="145" spans="1:4" x14ac:dyDescent="0.2">
      <c r="A145" s="4">
        <v>45499</v>
      </c>
      <c r="B145" s="8">
        <v>9.7200000000000006</v>
      </c>
      <c r="C145" s="10">
        <f t="shared" si="4"/>
        <v>1.91358024691358E-2</v>
      </c>
      <c r="D145" s="50">
        <f t="shared" si="5"/>
        <v>0.186</v>
      </c>
    </row>
    <row r="146" spans="1:4" x14ac:dyDescent="0.2">
      <c r="A146" s="4">
        <v>45502</v>
      </c>
      <c r="B146" s="8">
        <v>9.76</v>
      </c>
      <c r="C146" s="10">
        <f t="shared" si="4"/>
        <v>1.9057377049180327E-2</v>
      </c>
      <c r="D146" s="50">
        <f t="shared" si="5"/>
        <v>0.186</v>
      </c>
    </row>
    <row r="147" spans="1:4" x14ac:dyDescent="0.2">
      <c r="A147" s="4">
        <v>45503</v>
      </c>
      <c r="B147" s="8">
        <v>9.76</v>
      </c>
      <c r="C147" s="10">
        <f t="shared" si="4"/>
        <v>1.9057377049180327E-2</v>
      </c>
      <c r="D147" s="50">
        <f t="shared" si="5"/>
        <v>0.186</v>
      </c>
    </row>
    <row r="148" spans="1:4" x14ac:dyDescent="0.2">
      <c r="A148" s="4">
        <v>45504</v>
      </c>
      <c r="B148" s="8">
        <v>9.82</v>
      </c>
      <c r="C148" s="10">
        <f t="shared" si="4"/>
        <v>1.8940936863543787E-2</v>
      </c>
      <c r="D148" s="50">
        <f t="shared" si="5"/>
        <v>0.186</v>
      </c>
    </row>
    <row r="149" spans="1:4" x14ac:dyDescent="0.2">
      <c r="A149" s="4">
        <v>45505</v>
      </c>
      <c r="B149" s="8">
        <v>9.85</v>
      </c>
      <c r="C149" s="10">
        <f t="shared" si="4"/>
        <v>1.8883248730964468E-2</v>
      </c>
      <c r="D149" s="50">
        <f t="shared" si="5"/>
        <v>0.186</v>
      </c>
    </row>
    <row r="150" spans="1:4" x14ac:dyDescent="0.2">
      <c r="A150" s="4">
        <v>45506</v>
      </c>
      <c r="B150" s="8">
        <v>9.9</v>
      </c>
      <c r="C150" s="10">
        <f t="shared" si="4"/>
        <v>1.8787878787878787E-2</v>
      </c>
      <c r="D150" s="50">
        <f t="shared" si="5"/>
        <v>0.186</v>
      </c>
    </row>
    <row r="151" spans="1:4" x14ac:dyDescent="0.2">
      <c r="A151" s="4">
        <v>45509</v>
      </c>
      <c r="B151" s="8">
        <v>9.5399999999999991</v>
      </c>
      <c r="C151" s="10">
        <f t="shared" si="4"/>
        <v>1.9496855345911952E-2</v>
      </c>
      <c r="D151" s="50">
        <f t="shared" si="5"/>
        <v>0.186</v>
      </c>
    </row>
    <row r="152" spans="1:4" x14ac:dyDescent="0.2">
      <c r="A152" s="4">
        <v>45510</v>
      </c>
      <c r="B152" s="8">
        <v>9.5500000000000007</v>
      </c>
      <c r="C152" s="10">
        <f t="shared" si="4"/>
        <v>1.9476439790575915E-2</v>
      </c>
      <c r="D152" s="50">
        <f t="shared" si="5"/>
        <v>0.186</v>
      </c>
    </row>
    <row r="153" spans="1:4" x14ac:dyDescent="0.2">
      <c r="A153" s="4">
        <v>45511</v>
      </c>
      <c r="B153" s="8">
        <v>9.7200000000000006</v>
      </c>
      <c r="C153" s="10">
        <f t="shared" si="4"/>
        <v>1.91358024691358E-2</v>
      </c>
      <c r="D153" s="50">
        <f t="shared" si="5"/>
        <v>0.186</v>
      </c>
    </row>
    <row r="154" spans="1:4" x14ac:dyDescent="0.2">
      <c r="A154" s="4">
        <v>45512</v>
      </c>
      <c r="B154" s="8">
        <v>9.7200000000000006</v>
      </c>
      <c r="C154" s="10">
        <f t="shared" si="4"/>
        <v>1.91358024691358E-2</v>
      </c>
      <c r="D154" s="50">
        <f t="shared" si="5"/>
        <v>0.186</v>
      </c>
    </row>
    <row r="155" spans="1:4" x14ac:dyDescent="0.2">
      <c r="A155" s="4">
        <v>45513</v>
      </c>
      <c r="B155" s="8">
        <v>9.77</v>
      </c>
      <c r="C155" s="10">
        <f t="shared" si="4"/>
        <v>1.9037871033776868E-2</v>
      </c>
      <c r="D155" s="50">
        <f t="shared" si="5"/>
        <v>0.186</v>
      </c>
    </row>
    <row r="156" spans="1:4" x14ac:dyDescent="0.2">
      <c r="A156" s="4">
        <v>45516</v>
      </c>
      <c r="B156" s="8">
        <v>9.65</v>
      </c>
      <c r="C156" s="10">
        <f t="shared" si="4"/>
        <v>1.9274611398963731E-2</v>
      </c>
      <c r="D156" s="50">
        <f t="shared" si="5"/>
        <v>0.186</v>
      </c>
    </row>
    <row r="157" spans="1:4" x14ac:dyDescent="0.2">
      <c r="A157" s="4">
        <v>45517</v>
      </c>
      <c r="B157" s="8">
        <v>9.68</v>
      </c>
      <c r="C157" s="10">
        <f t="shared" si="4"/>
        <v>1.921487603305785E-2</v>
      </c>
      <c r="D157" s="50">
        <f t="shared" si="5"/>
        <v>0.186</v>
      </c>
    </row>
    <row r="158" spans="1:4" x14ac:dyDescent="0.2">
      <c r="A158" s="4">
        <v>45518</v>
      </c>
      <c r="B158" s="8">
        <v>9.59</v>
      </c>
      <c r="C158" s="10">
        <f t="shared" si="4"/>
        <v>1.9395203336809178E-2</v>
      </c>
      <c r="D158" s="50">
        <f t="shared" si="5"/>
        <v>0.186</v>
      </c>
    </row>
    <row r="159" spans="1:4" x14ac:dyDescent="0.2">
      <c r="A159" s="4">
        <v>45519</v>
      </c>
      <c r="B159" s="8">
        <v>9.81</v>
      </c>
      <c r="C159" s="10">
        <f t="shared" si="4"/>
        <v>1.8960244648318043E-2</v>
      </c>
      <c r="D159" s="50">
        <f t="shared" si="5"/>
        <v>0.186</v>
      </c>
    </row>
    <row r="160" spans="1:4" x14ac:dyDescent="0.2">
      <c r="A160" s="4">
        <v>45520</v>
      </c>
      <c r="B160" s="8">
        <v>9.92</v>
      </c>
      <c r="C160" s="10">
        <f t="shared" si="4"/>
        <v>1.8749999999999999E-2</v>
      </c>
      <c r="D160" s="50">
        <f t="shared" si="5"/>
        <v>0.186</v>
      </c>
    </row>
    <row r="161" spans="1:4" x14ac:dyDescent="0.2">
      <c r="A161" s="4">
        <v>45523</v>
      </c>
      <c r="B161" s="8">
        <v>10</v>
      </c>
      <c r="C161" s="10">
        <f t="shared" si="4"/>
        <v>1.8599999999999998E-2</v>
      </c>
      <c r="D161" s="50">
        <f t="shared" si="5"/>
        <v>0.186</v>
      </c>
    </row>
    <row r="162" spans="1:4" x14ac:dyDescent="0.2">
      <c r="A162" s="4">
        <v>45524</v>
      </c>
      <c r="B162" s="8">
        <v>10.02</v>
      </c>
      <c r="C162" s="10">
        <f t="shared" si="4"/>
        <v>1.8562874251497007E-2</v>
      </c>
      <c r="D162" s="50">
        <f t="shared" si="5"/>
        <v>0.186</v>
      </c>
    </row>
    <row r="163" spans="1:4" x14ac:dyDescent="0.2">
      <c r="A163" s="4">
        <v>45525</v>
      </c>
      <c r="B163" s="8">
        <v>10.07</v>
      </c>
      <c r="C163" s="10">
        <f t="shared" si="4"/>
        <v>1.8470705064548162E-2</v>
      </c>
      <c r="D163" s="50">
        <f t="shared" si="5"/>
        <v>0.186</v>
      </c>
    </row>
    <row r="164" spans="1:4" x14ac:dyDescent="0.2">
      <c r="A164" s="4">
        <v>45526</v>
      </c>
      <c r="B164" s="8">
        <v>9.9600000000000009</v>
      </c>
      <c r="C164" s="10">
        <f t="shared" si="4"/>
        <v>1.867469879518072E-2</v>
      </c>
      <c r="D164" s="50">
        <f t="shared" si="5"/>
        <v>0.186</v>
      </c>
    </row>
    <row r="165" spans="1:4" x14ac:dyDescent="0.2">
      <c r="A165" s="4">
        <v>45527</v>
      </c>
      <c r="B165" s="8">
        <v>10.14</v>
      </c>
      <c r="C165" s="10">
        <f t="shared" si="4"/>
        <v>1.8343195266272188E-2</v>
      </c>
      <c r="D165" s="50">
        <f t="shared" si="5"/>
        <v>0.186</v>
      </c>
    </row>
    <row r="166" spans="1:4" x14ac:dyDescent="0.2">
      <c r="A166" s="4">
        <v>45530</v>
      </c>
      <c r="B166" s="8">
        <v>10.029999999999999</v>
      </c>
      <c r="C166" s="10">
        <f t="shared" si="4"/>
        <v>1.8544366899302094E-2</v>
      </c>
      <c r="D166" s="50">
        <f t="shared" si="5"/>
        <v>0.186</v>
      </c>
    </row>
    <row r="167" spans="1:4" x14ac:dyDescent="0.2">
      <c r="A167" s="4">
        <v>45531</v>
      </c>
      <c r="B167" s="8">
        <v>10.02</v>
      </c>
      <c r="C167" s="10">
        <f t="shared" si="4"/>
        <v>1.8562874251497007E-2</v>
      </c>
      <c r="D167" s="50">
        <f t="shared" si="5"/>
        <v>0.186</v>
      </c>
    </row>
    <row r="168" spans="1:4" x14ac:dyDescent="0.2">
      <c r="A168" s="4">
        <v>45532</v>
      </c>
      <c r="B168" s="8">
        <v>10.07</v>
      </c>
      <c r="C168" s="10">
        <f t="shared" si="4"/>
        <v>1.8470705064548162E-2</v>
      </c>
      <c r="D168" s="50">
        <f t="shared" si="5"/>
        <v>0.186</v>
      </c>
    </row>
    <row r="169" spans="1:4" x14ac:dyDescent="0.2">
      <c r="A169" s="4">
        <v>45533</v>
      </c>
      <c r="B169" s="8">
        <v>10.01</v>
      </c>
      <c r="C169" s="10">
        <f t="shared" si="4"/>
        <v>1.8581418581418582E-2</v>
      </c>
      <c r="D169" s="50">
        <f t="shared" si="5"/>
        <v>0.186</v>
      </c>
    </row>
    <row r="170" spans="1:4" x14ac:dyDescent="0.2">
      <c r="A170" s="4">
        <v>45534</v>
      </c>
      <c r="B170" s="8">
        <v>10.14</v>
      </c>
      <c r="C170" s="10">
        <f t="shared" si="4"/>
        <v>1.8343195266272188E-2</v>
      </c>
      <c r="D170" s="50">
        <f t="shared" si="5"/>
        <v>0.186</v>
      </c>
    </row>
    <row r="171" spans="1:4" x14ac:dyDescent="0.2">
      <c r="A171" s="4">
        <v>45537</v>
      </c>
      <c r="B171" s="8">
        <v>10.28</v>
      </c>
      <c r="C171" s="10">
        <f t="shared" si="4"/>
        <v>1.8093385214007784E-2</v>
      </c>
      <c r="D171" s="50">
        <f t="shared" si="5"/>
        <v>0.186</v>
      </c>
    </row>
    <row r="172" spans="1:4" x14ac:dyDescent="0.2">
      <c r="A172" s="4">
        <v>45538</v>
      </c>
      <c r="B172" s="8">
        <v>10.27</v>
      </c>
      <c r="C172" s="10">
        <f t="shared" si="4"/>
        <v>1.8111002921129504E-2</v>
      </c>
      <c r="D172" s="50">
        <f t="shared" si="5"/>
        <v>0.186</v>
      </c>
    </row>
    <row r="173" spans="1:4" x14ac:dyDescent="0.2">
      <c r="A173" s="4">
        <v>45539</v>
      </c>
      <c r="B173" s="8">
        <v>10.5</v>
      </c>
      <c r="C173" s="10">
        <f t="shared" si="4"/>
        <v>1.7714285714285714E-2</v>
      </c>
      <c r="D173" s="50">
        <f t="shared" si="5"/>
        <v>0.186</v>
      </c>
    </row>
    <row r="174" spans="1:4" x14ac:dyDescent="0.2">
      <c r="A174" s="4">
        <v>45540</v>
      </c>
      <c r="B174" s="8">
        <v>10.9</v>
      </c>
      <c r="C174" s="10">
        <f t="shared" si="4"/>
        <v>1.7064220183486238E-2</v>
      </c>
      <c r="D174" s="50">
        <f t="shared" si="5"/>
        <v>0.186</v>
      </c>
    </row>
    <row r="175" spans="1:4" x14ac:dyDescent="0.2">
      <c r="A175" s="4">
        <v>45541</v>
      </c>
      <c r="B175" s="8">
        <v>11.08</v>
      </c>
      <c r="C175" s="10">
        <f t="shared" si="4"/>
        <v>1.6787003610108302E-2</v>
      </c>
      <c r="D175" s="50">
        <f t="shared" si="5"/>
        <v>0.186</v>
      </c>
    </row>
    <row r="176" spans="1:4" x14ac:dyDescent="0.2">
      <c r="A176" s="4">
        <v>45544</v>
      </c>
      <c r="B176" s="8">
        <v>11.1</v>
      </c>
      <c r="C176" s="10">
        <f t="shared" si="4"/>
        <v>1.6756756756756756E-2</v>
      </c>
      <c r="D176" s="50">
        <f t="shared" si="5"/>
        <v>0.186</v>
      </c>
    </row>
    <row r="177" spans="1:4" x14ac:dyDescent="0.2">
      <c r="A177" s="4">
        <v>45545</v>
      </c>
      <c r="B177" s="8">
        <v>11.08</v>
      </c>
      <c r="C177" s="10">
        <f t="shared" si="4"/>
        <v>1.6787003610108302E-2</v>
      </c>
      <c r="D177" s="50">
        <f t="shared" si="5"/>
        <v>0.186</v>
      </c>
    </row>
    <row r="178" spans="1:4" x14ac:dyDescent="0.2">
      <c r="A178" s="4">
        <v>45546</v>
      </c>
      <c r="B178" s="8">
        <v>11.26</v>
      </c>
      <c r="C178" s="10">
        <f t="shared" si="4"/>
        <v>1.6518650088809948E-2</v>
      </c>
      <c r="D178" s="50">
        <f t="shared" si="5"/>
        <v>0.186</v>
      </c>
    </row>
    <row r="179" spans="1:4" x14ac:dyDescent="0.2">
      <c r="A179" s="4">
        <v>45547</v>
      </c>
      <c r="B179" s="8">
        <v>11.4</v>
      </c>
      <c r="C179" s="10">
        <f t="shared" si="4"/>
        <v>1.6315789473684211E-2</v>
      </c>
      <c r="D179" s="50">
        <f t="shared" si="5"/>
        <v>0.186</v>
      </c>
    </row>
    <row r="180" spans="1:4" x14ac:dyDescent="0.2">
      <c r="A180" s="4">
        <v>45548</v>
      </c>
      <c r="B180" s="8">
        <v>11.26</v>
      </c>
      <c r="C180" s="10">
        <f t="shared" si="4"/>
        <v>1.6518650088809948E-2</v>
      </c>
      <c r="D180" s="50">
        <f t="shared" si="5"/>
        <v>0.186</v>
      </c>
    </row>
    <row r="181" spans="1:4" x14ac:dyDescent="0.2">
      <c r="A181" s="4">
        <v>45551</v>
      </c>
      <c r="B181" s="8">
        <v>11.11</v>
      </c>
      <c r="C181" s="10">
        <f t="shared" si="4"/>
        <v>1.6741674167416742E-2</v>
      </c>
      <c r="D181" s="50">
        <f t="shared" si="5"/>
        <v>0.186</v>
      </c>
    </row>
    <row r="182" spans="1:4" x14ac:dyDescent="0.2">
      <c r="A182" s="4">
        <v>45552</v>
      </c>
      <c r="B182" s="8">
        <v>11.24</v>
      </c>
      <c r="C182" s="10">
        <f t="shared" si="4"/>
        <v>1.6548042704626335E-2</v>
      </c>
      <c r="D182" s="50">
        <f t="shared" si="5"/>
        <v>0.186</v>
      </c>
    </row>
    <row r="183" spans="1:4" x14ac:dyDescent="0.2">
      <c r="A183" s="4">
        <v>45553</v>
      </c>
      <c r="B183" s="8">
        <v>11.15</v>
      </c>
      <c r="C183" s="10">
        <f t="shared" si="4"/>
        <v>1.6681614349775786E-2</v>
      </c>
      <c r="D183" s="50">
        <f t="shared" si="5"/>
        <v>0.186</v>
      </c>
    </row>
    <row r="184" spans="1:4" x14ac:dyDescent="0.2">
      <c r="A184" s="4">
        <v>45554</v>
      </c>
      <c r="B184" s="8">
        <v>11.39</v>
      </c>
      <c r="C184" s="10">
        <f t="shared" si="4"/>
        <v>1.6330114135206322E-2</v>
      </c>
      <c r="D184" s="50">
        <f t="shared" si="5"/>
        <v>0.186</v>
      </c>
    </row>
    <row r="185" spans="1:4" x14ac:dyDescent="0.2">
      <c r="A185" s="4">
        <v>45555</v>
      </c>
      <c r="B185" s="8">
        <v>11.27</v>
      </c>
      <c r="C185" s="10">
        <f t="shared" si="4"/>
        <v>1.6503992901508429E-2</v>
      </c>
      <c r="D185" s="50">
        <f t="shared" si="5"/>
        <v>0.186</v>
      </c>
    </row>
    <row r="186" spans="1:4" x14ac:dyDescent="0.2">
      <c r="A186" s="4">
        <v>45558</v>
      </c>
      <c r="B186" s="8">
        <v>11.33</v>
      </c>
      <c r="C186" s="10">
        <f t="shared" si="4"/>
        <v>1.6416593115622241E-2</v>
      </c>
      <c r="D186" s="50">
        <f t="shared" si="5"/>
        <v>0.186</v>
      </c>
    </row>
    <row r="187" spans="1:4" x14ac:dyDescent="0.2">
      <c r="A187" s="4">
        <v>45559</v>
      </c>
      <c r="B187" s="8">
        <v>11.17</v>
      </c>
      <c r="C187" s="10">
        <f t="shared" si="4"/>
        <v>1.6651745747538048E-2</v>
      </c>
      <c r="D187" s="50">
        <f t="shared" si="5"/>
        <v>0.186</v>
      </c>
    </row>
    <row r="188" spans="1:4" x14ac:dyDescent="0.2">
      <c r="A188" s="4">
        <v>45560</v>
      </c>
      <c r="B188" s="8">
        <v>11.14</v>
      </c>
      <c r="C188" s="10">
        <f t="shared" si="4"/>
        <v>1.6696588868940754E-2</v>
      </c>
      <c r="D188" s="50">
        <f t="shared" si="5"/>
        <v>0.186</v>
      </c>
    </row>
    <row r="189" spans="1:4" x14ac:dyDescent="0.2">
      <c r="A189" s="4">
        <v>45561</v>
      </c>
      <c r="B189" s="8">
        <v>11.31</v>
      </c>
      <c r="C189" s="10">
        <f t="shared" si="4"/>
        <v>1.6445623342175066E-2</v>
      </c>
      <c r="D189" s="50">
        <f t="shared" si="5"/>
        <v>0.186</v>
      </c>
    </row>
    <row r="190" spans="1:4" x14ac:dyDescent="0.2">
      <c r="A190" s="4">
        <v>45562</v>
      </c>
      <c r="B190" s="8">
        <v>11.42</v>
      </c>
      <c r="C190" s="10">
        <f t="shared" si="4"/>
        <v>1.628721541155867E-2</v>
      </c>
      <c r="D190" s="50">
        <f t="shared" si="5"/>
        <v>0.186</v>
      </c>
    </row>
    <row r="191" spans="1:4" x14ac:dyDescent="0.2">
      <c r="A191" s="4">
        <v>45565</v>
      </c>
      <c r="B191" s="8">
        <v>11.41</v>
      </c>
      <c r="C191" s="10">
        <f t="shared" si="4"/>
        <v>1.6301489921121824E-2</v>
      </c>
      <c r="D191" s="50">
        <f t="shared" si="5"/>
        <v>0.186</v>
      </c>
    </row>
    <row r="192" spans="1:4" x14ac:dyDescent="0.2">
      <c r="A192" s="4">
        <v>45566</v>
      </c>
      <c r="B192" s="8">
        <v>11.17</v>
      </c>
      <c r="C192" s="10">
        <f t="shared" si="4"/>
        <v>1.6651745747538048E-2</v>
      </c>
      <c r="D192" s="50">
        <f t="shared" si="5"/>
        <v>0.186</v>
      </c>
    </row>
    <row r="193" spans="1:4" x14ac:dyDescent="0.2">
      <c r="A193" s="4">
        <v>45567</v>
      </c>
      <c r="B193" s="8">
        <v>11.18</v>
      </c>
      <c r="C193" s="10">
        <f t="shared" si="4"/>
        <v>1.6636851520572451E-2</v>
      </c>
      <c r="D193" s="50">
        <f t="shared" si="5"/>
        <v>0.186</v>
      </c>
    </row>
    <row r="194" spans="1:4" x14ac:dyDescent="0.2">
      <c r="A194" s="4">
        <v>45568</v>
      </c>
      <c r="B194" s="8">
        <v>11.08</v>
      </c>
      <c r="C194" s="10">
        <f t="shared" si="4"/>
        <v>1.6787003610108302E-2</v>
      </c>
      <c r="D194" s="50">
        <f t="shared" si="5"/>
        <v>0.186</v>
      </c>
    </row>
    <row r="195" spans="1:4" x14ac:dyDescent="0.2">
      <c r="A195" s="4">
        <v>45569</v>
      </c>
      <c r="B195" s="8">
        <v>11.08</v>
      </c>
      <c r="C195" s="10">
        <f t="shared" ref="C195:C255" si="6">D195/B195</f>
        <v>1.6787003610108302E-2</v>
      </c>
      <c r="D195" s="50">
        <f t="shared" ref="D195:D255" si="7">0.0651+0.1209</f>
        <v>0.186</v>
      </c>
    </row>
    <row r="196" spans="1:4" x14ac:dyDescent="0.2">
      <c r="A196" s="4">
        <v>45572</v>
      </c>
      <c r="B196" s="8">
        <v>11.16</v>
      </c>
      <c r="C196" s="10">
        <f t="shared" si="6"/>
        <v>1.6666666666666666E-2</v>
      </c>
      <c r="D196" s="50">
        <f t="shared" si="7"/>
        <v>0.186</v>
      </c>
    </row>
    <row r="197" spans="1:4" x14ac:dyDescent="0.2">
      <c r="A197" s="4">
        <v>45573</v>
      </c>
      <c r="B197" s="8">
        <v>11.04</v>
      </c>
      <c r="C197" s="10">
        <f t="shared" si="6"/>
        <v>1.6847826086956522E-2</v>
      </c>
      <c r="D197" s="50">
        <f t="shared" si="7"/>
        <v>0.186</v>
      </c>
    </row>
    <row r="198" spans="1:4" x14ac:dyDescent="0.2">
      <c r="A198" s="4">
        <v>45574</v>
      </c>
      <c r="B198" s="8">
        <v>11.17</v>
      </c>
      <c r="C198" s="10">
        <f t="shared" si="6"/>
        <v>1.6651745747538048E-2</v>
      </c>
      <c r="D198" s="50">
        <f t="shared" si="7"/>
        <v>0.186</v>
      </c>
    </row>
    <row r="199" spans="1:4" x14ac:dyDescent="0.2">
      <c r="A199" s="4">
        <v>45575</v>
      </c>
      <c r="B199" s="8">
        <v>10.9</v>
      </c>
      <c r="C199" s="10">
        <f t="shared" si="6"/>
        <v>1.7064220183486238E-2</v>
      </c>
      <c r="D199" s="50">
        <f t="shared" si="7"/>
        <v>0.186</v>
      </c>
    </row>
    <row r="200" spans="1:4" x14ac:dyDescent="0.2">
      <c r="A200" s="4">
        <v>45576</v>
      </c>
      <c r="B200" s="8">
        <v>11.16</v>
      </c>
      <c r="C200" s="10">
        <f t="shared" si="6"/>
        <v>1.6666666666666666E-2</v>
      </c>
      <c r="D200" s="50">
        <f t="shared" si="7"/>
        <v>0.186</v>
      </c>
    </row>
    <row r="201" spans="1:4" x14ac:dyDescent="0.2">
      <c r="A201" s="4">
        <v>45579</v>
      </c>
      <c r="B201" s="8">
        <v>11.06</v>
      </c>
      <c r="C201" s="10">
        <f t="shared" si="6"/>
        <v>1.6817359855334536E-2</v>
      </c>
      <c r="D201" s="50">
        <f t="shared" si="7"/>
        <v>0.186</v>
      </c>
    </row>
    <row r="202" spans="1:4" x14ac:dyDescent="0.2">
      <c r="A202" s="4">
        <v>45580</v>
      </c>
      <c r="B202" s="8">
        <v>11.12</v>
      </c>
      <c r="C202" s="10">
        <f t="shared" si="6"/>
        <v>1.6726618705035973E-2</v>
      </c>
      <c r="D202" s="50">
        <f t="shared" si="7"/>
        <v>0.186</v>
      </c>
    </row>
    <row r="203" spans="1:4" x14ac:dyDescent="0.2">
      <c r="A203" s="4">
        <v>45581</v>
      </c>
      <c r="B203" s="8">
        <v>10.89</v>
      </c>
      <c r="C203" s="10">
        <f t="shared" si="6"/>
        <v>1.7079889807162532E-2</v>
      </c>
      <c r="D203" s="50">
        <f t="shared" si="7"/>
        <v>0.186</v>
      </c>
    </row>
    <row r="204" spans="1:4" x14ac:dyDescent="0.2">
      <c r="A204" s="4">
        <v>45582</v>
      </c>
      <c r="B204" s="8">
        <v>11.07</v>
      </c>
      <c r="C204" s="10">
        <f t="shared" si="6"/>
        <v>1.6802168021680216E-2</v>
      </c>
      <c r="D204" s="50">
        <f t="shared" si="7"/>
        <v>0.186</v>
      </c>
    </row>
    <row r="205" spans="1:4" x14ac:dyDescent="0.2">
      <c r="A205" s="4">
        <v>45583</v>
      </c>
      <c r="B205" s="8">
        <v>11.12</v>
      </c>
      <c r="C205" s="10">
        <f t="shared" si="6"/>
        <v>1.6726618705035973E-2</v>
      </c>
      <c r="D205" s="50">
        <f t="shared" si="7"/>
        <v>0.186</v>
      </c>
    </row>
    <row r="206" spans="1:4" x14ac:dyDescent="0.2">
      <c r="A206" s="4">
        <v>45586</v>
      </c>
      <c r="B206" s="8">
        <v>11.27</v>
      </c>
      <c r="C206" s="10">
        <f t="shared" si="6"/>
        <v>1.6503992901508429E-2</v>
      </c>
      <c r="D206" s="50">
        <f t="shared" si="7"/>
        <v>0.186</v>
      </c>
    </row>
    <row r="207" spans="1:4" x14ac:dyDescent="0.2">
      <c r="A207" s="4">
        <v>45587</v>
      </c>
      <c r="B207" s="8">
        <v>11.46</v>
      </c>
      <c r="C207" s="10">
        <f t="shared" si="6"/>
        <v>1.6230366492146594E-2</v>
      </c>
      <c r="D207" s="50">
        <f t="shared" si="7"/>
        <v>0.186</v>
      </c>
    </row>
    <row r="208" spans="1:4" x14ac:dyDescent="0.2">
      <c r="A208" s="4">
        <v>45588</v>
      </c>
      <c r="B208" s="8">
        <v>11.62</v>
      </c>
      <c r="C208" s="10">
        <f t="shared" si="6"/>
        <v>1.6006884681583476E-2</v>
      </c>
      <c r="D208" s="50">
        <f t="shared" si="7"/>
        <v>0.186</v>
      </c>
    </row>
    <row r="209" spans="1:4" x14ac:dyDescent="0.2">
      <c r="A209" s="4">
        <v>45589</v>
      </c>
      <c r="B209" s="8">
        <v>11.78</v>
      </c>
      <c r="C209" s="10">
        <f t="shared" si="6"/>
        <v>1.5789473684210527E-2</v>
      </c>
      <c r="D209" s="50">
        <f t="shared" si="7"/>
        <v>0.186</v>
      </c>
    </row>
    <row r="210" spans="1:4" x14ac:dyDescent="0.2">
      <c r="A210" s="4">
        <v>45590</v>
      </c>
      <c r="B210" s="8">
        <v>11.66</v>
      </c>
      <c r="C210" s="10">
        <f t="shared" si="6"/>
        <v>1.5951972555746142E-2</v>
      </c>
      <c r="D210" s="50">
        <f t="shared" si="7"/>
        <v>0.186</v>
      </c>
    </row>
    <row r="211" spans="1:4" x14ac:dyDescent="0.2">
      <c r="A211" s="4">
        <v>45593</v>
      </c>
      <c r="B211" s="8">
        <v>11.95</v>
      </c>
      <c r="C211" s="10">
        <f t="shared" si="6"/>
        <v>1.5564853556485356E-2</v>
      </c>
      <c r="D211" s="50">
        <f t="shared" si="7"/>
        <v>0.186</v>
      </c>
    </row>
    <row r="212" spans="1:4" x14ac:dyDescent="0.2">
      <c r="A212" s="4">
        <v>45594</v>
      </c>
      <c r="B212" s="8">
        <v>11.97</v>
      </c>
      <c r="C212" s="10">
        <f t="shared" si="6"/>
        <v>1.5538847117794486E-2</v>
      </c>
      <c r="D212" s="50">
        <f t="shared" si="7"/>
        <v>0.186</v>
      </c>
    </row>
    <row r="213" spans="1:4" x14ac:dyDescent="0.2">
      <c r="A213" s="4">
        <v>45595</v>
      </c>
      <c r="B213" s="8">
        <v>11.67</v>
      </c>
      <c r="C213" s="10">
        <f t="shared" si="6"/>
        <v>1.5938303341902313E-2</v>
      </c>
      <c r="D213" s="50">
        <f t="shared" si="7"/>
        <v>0.186</v>
      </c>
    </row>
    <row r="214" spans="1:4" x14ac:dyDescent="0.2">
      <c r="A214" s="4">
        <v>45596</v>
      </c>
      <c r="B214" s="8">
        <v>11.5</v>
      </c>
      <c r="C214" s="10">
        <f t="shared" si="6"/>
        <v>1.6173913043478261E-2</v>
      </c>
      <c r="D214" s="50">
        <f t="shared" si="7"/>
        <v>0.186</v>
      </c>
    </row>
    <row r="215" spans="1:4" x14ac:dyDescent="0.2">
      <c r="A215" s="4">
        <v>45597</v>
      </c>
      <c r="B215" s="8">
        <v>11.61</v>
      </c>
      <c r="C215" s="10">
        <f t="shared" si="6"/>
        <v>1.6020671834625324E-2</v>
      </c>
      <c r="D215" s="50">
        <f t="shared" si="7"/>
        <v>0.186</v>
      </c>
    </row>
    <row r="216" spans="1:4" x14ac:dyDescent="0.2">
      <c r="A216" s="4">
        <v>45600</v>
      </c>
      <c r="B216" s="8">
        <v>11.58</v>
      </c>
      <c r="C216" s="10">
        <f t="shared" si="6"/>
        <v>1.6062176165803108E-2</v>
      </c>
      <c r="D216" s="50">
        <f t="shared" si="7"/>
        <v>0.186</v>
      </c>
    </row>
    <row r="217" spans="1:4" x14ac:dyDescent="0.2">
      <c r="A217" s="4">
        <v>45601</v>
      </c>
      <c r="B217" s="8">
        <v>11.46</v>
      </c>
      <c r="C217" s="10">
        <f t="shared" si="6"/>
        <v>1.6230366492146594E-2</v>
      </c>
      <c r="D217" s="50">
        <f t="shared" si="7"/>
        <v>0.186</v>
      </c>
    </row>
    <row r="218" spans="1:4" x14ac:dyDescent="0.2">
      <c r="A218" s="4">
        <v>45602</v>
      </c>
      <c r="B218" s="8">
        <v>11.66</v>
      </c>
      <c r="C218" s="10">
        <f t="shared" si="6"/>
        <v>1.5951972555746142E-2</v>
      </c>
      <c r="D218" s="50">
        <f t="shared" si="7"/>
        <v>0.186</v>
      </c>
    </row>
    <row r="219" spans="1:4" x14ac:dyDescent="0.2">
      <c r="A219" s="4">
        <v>45603</v>
      </c>
      <c r="B219" s="8">
        <v>11.4</v>
      </c>
      <c r="C219" s="10">
        <f t="shared" si="6"/>
        <v>1.6315789473684211E-2</v>
      </c>
      <c r="D219" s="50">
        <f t="shared" si="7"/>
        <v>0.186</v>
      </c>
    </row>
    <row r="220" spans="1:4" x14ac:dyDescent="0.2">
      <c r="A220" s="4">
        <v>45604</v>
      </c>
      <c r="B220" s="8">
        <v>11.3</v>
      </c>
      <c r="C220" s="10">
        <f t="shared" si="6"/>
        <v>1.6460176991150443E-2</v>
      </c>
      <c r="D220" s="50">
        <f t="shared" si="7"/>
        <v>0.186</v>
      </c>
    </row>
    <row r="221" spans="1:4" x14ac:dyDescent="0.2">
      <c r="A221" s="4">
        <v>45607</v>
      </c>
      <c r="B221" s="8">
        <v>11.04</v>
      </c>
      <c r="C221" s="10">
        <f t="shared" si="6"/>
        <v>1.6847826086956522E-2</v>
      </c>
      <c r="D221" s="50">
        <f t="shared" si="7"/>
        <v>0.186</v>
      </c>
    </row>
    <row r="222" spans="1:4" x14ac:dyDescent="0.2">
      <c r="A222" s="4">
        <v>45608</v>
      </c>
      <c r="B222" s="8">
        <v>11.13</v>
      </c>
      <c r="C222" s="10">
        <f t="shared" si="6"/>
        <v>1.6711590296495955E-2</v>
      </c>
      <c r="D222" s="50">
        <f t="shared" si="7"/>
        <v>0.186</v>
      </c>
    </row>
    <row r="223" spans="1:4" x14ac:dyDescent="0.2">
      <c r="A223" s="4">
        <v>45609</v>
      </c>
      <c r="B223" s="8">
        <v>11.27</v>
      </c>
      <c r="C223" s="10">
        <f t="shared" si="6"/>
        <v>1.6503992901508429E-2</v>
      </c>
      <c r="D223" s="50">
        <f t="shared" si="7"/>
        <v>0.186</v>
      </c>
    </row>
    <row r="224" spans="1:4" x14ac:dyDescent="0.2">
      <c r="A224" s="4">
        <v>45610</v>
      </c>
      <c r="B224" s="8">
        <v>11.29</v>
      </c>
      <c r="C224" s="10">
        <f t="shared" si="6"/>
        <v>1.6474756421612047E-2</v>
      </c>
      <c r="D224" s="50">
        <f t="shared" si="7"/>
        <v>0.186</v>
      </c>
    </row>
    <row r="225" spans="1:4" x14ac:dyDescent="0.2">
      <c r="A225" s="4">
        <v>45611</v>
      </c>
      <c r="B225" s="8">
        <v>11.41</v>
      </c>
      <c r="C225" s="10">
        <f t="shared" si="6"/>
        <v>1.6301489921121824E-2</v>
      </c>
      <c r="D225" s="50">
        <f t="shared" si="7"/>
        <v>0.186</v>
      </c>
    </row>
    <row r="226" spans="1:4" x14ac:dyDescent="0.2">
      <c r="A226" s="4">
        <v>45614</v>
      </c>
      <c r="B226" s="8">
        <v>11.25</v>
      </c>
      <c r="C226" s="10">
        <f t="shared" si="6"/>
        <v>1.6533333333333334E-2</v>
      </c>
      <c r="D226" s="50">
        <f t="shared" si="7"/>
        <v>0.186</v>
      </c>
    </row>
    <row r="227" spans="1:4" x14ac:dyDescent="0.2">
      <c r="A227" s="4">
        <v>45615</v>
      </c>
      <c r="B227" s="8">
        <v>11.01</v>
      </c>
      <c r="C227" s="10">
        <f t="shared" si="6"/>
        <v>1.6893732970027248E-2</v>
      </c>
      <c r="D227" s="50">
        <f t="shared" si="7"/>
        <v>0.186</v>
      </c>
    </row>
    <row r="228" spans="1:4" x14ac:dyDescent="0.2">
      <c r="A228" s="4">
        <v>45616</v>
      </c>
      <c r="B228" s="8">
        <v>11.08</v>
      </c>
      <c r="C228" s="10">
        <f t="shared" si="6"/>
        <v>1.6787003610108302E-2</v>
      </c>
      <c r="D228" s="50">
        <f t="shared" si="7"/>
        <v>0.186</v>
      </c>
    </row>
    <row r="229" spans="1:4" x14ac:dyDescent="0.2">
      <c r="A229" s="4">
        <v>45617</v>
      </c>
      <c r="B229" s="8">
        <v>11.19</v>
      </c>
      <c r="C229" s="10">
        <f t="shared" si="6"/>
        <v>1.6621983914209115E-2</v>
      </c>
      <c r="D229" s="50">
        <f t="shared" si="7"/>
        <v>0.186</v>
      </c>
    </row>
    <row r="230" spans="1:4" x14ac:dyDescent="0.2">
      <c r="A230" s="4">
        <v>45618</v>
      </c>
      <c r="B230" s="8">
        <v>11.2</v>
      </c>
      <c r="C230" s="10">
        <f t="shared" si="6"/>
        <v>1.6607142857142859E-2</v>
      </c>
      <c r="D230" s="50">
        <f t="shared" si="7"/>
        <v>0.186</v>
      </c>
    </row>
    <row r="231" spans="1:4" x14ac:dyDescent="0.2">
      <c r="A231" s="4">
        <v>45621</v>
      </c>
      <c r="B231" s="8">
        <v>11.42</v>
      </c>
      <c r="C231" s="10">
        <f t="shared" si="6"/>
        <v>1.628721541155867E-2</v>
      </c>
      <c r="D231" s="50">
        <f t="shared" si="7"/>
        <v>0.186</v>
      </c>
    </row>
    <row r="232" spans="1:4" x14ac:dyDescent="0.2">
      <c r="A232" s="4">
        <v>45622</v>
      </c>
      <c r="B232" s="8">
        <v>11.4</v>
      </c>
      <c r="C232" s="10">
        <f t="shared" si="6"/>
        <v>1.6315789473684211E-2</v>
      </c>
      <c r="D232" s="50">
        <f t="shared" si="7"/>
        <v>0.186</v>
      </c>
    </row>
    <row r="233" spans="1:4" x14ac:dyDescent="0.2">
      <c r="A233" s="4">
        <v>45623</v>
      </c>
      <c r="B233" s="8">
        <v>11.6</v>
      </c>
      <c r="C233" s="10">
        <f t="shared" si="6"/>
        <v>1.603448275862069E-2</v>
      </c>
      <c r="D233" s="50">
        <f t="shared" si="7"/>
        <v>0.186</v>
      </c>
    </row>
    <row r="234" spans="1:4" x14ac:dyDescent="0.2">
      <c r="A234" s="4">
        <v>45624</v>
      </c>
      <c r="B234" s="8">
        <v>11.57</v>
      </c>
      <c r="C234" s="10">
        <f t="shared" si="6"/>
        <v>1.6076058772687987E-2</v>
      </c>
      <c r="D234" s="50">
        <f t="shared" si="7"/>
        <v>0.186</v>
      </c>
    </row>
    <row r="235" spans="1:4" x14ac:dyDescent="0.2">
      <c r="A235" s="4">
        <v>45625</v>
      </c>
      <c r="B235" s="8">
        <v>11.63</v>
      </c>
      <c r="C235" s="10">
        <f t="shared" si="6"/>
        <v>1.5993121238177126E-2</v>
      </c>
      <c r="D235" s="50">
        <f t="shared" si="7"/>
        <v>0.186</v>
      </c>
    </row>
    <row r="236" spans="1:4" x14ac:dyDescent="0.2">
      <c r="A236" s="4">
        <v>45628</v>
      </c>
      <c r="B236" s="8">
        <v>11.61</v>
      </c>
      <c r="C236" s="10">
        <f t="shared" si="6"/>
        <v>1.6020671834625324E-2</v>
      </c>
      <c r="D236" s="50">
        <f t="shared" si="7"/>
        <v>0.186</v>
      </c>
    </row>
    <row r="237" spans="1:4" x14ac:dyDescent="0.2">
      <c r="A237" s="4">
        <v>45629</v>
      </c>
      <c r="B237" s="8">
        <v>11.34</v>
      </c>
      <c r="C237" s="10">
        <f t="shared" si="6"/>
        <v>1.6402116402116401E-2</v>
      </c>
      <c r="D237" s="50">
        <f t="shared" si="7"/>
        <v>0.186</v>
      </c>
    </row>
    <row r="238" spans="1:4" x14ac:dyDescent="0.2">
      <c r="A238" s="4">
        <v>45630</v>
      </c>
      <c r="B238" s="8">
        <v>11.36</v>
      </c>
      <c r="C238" s="10">
        <f t="shared" si="6"/>
        <v>1.6373239436619717E-2</v>
      </c>
      <c r="D238" s="50">
        <f t="shared" si="7"/>
        <v>0.186</v>
      </c>
    </row>
    <row r="239" spans="1:4" x14ac:dyDescent="0.2">
      <c r="A239" s="4">
        <v>45631</v>
      </c>
      <c r="B239" s="8">
        <v>11.58</v>
      </c>
      <c r="C239" s="10">
        <f t="shared" si="6"/>
        <v>1.6062176165803108E-2</v>
      </c>
      <c r="D239" s="50">
        <f t="shared" si="7"/>
        <v>0.186</v>
      </c>
    </row>
    <row r="240" spans="1:4" x14ac:dyDescent="0.2">
      <c r="A240" s="4">
        <v>45632</v>
      </c>
      <c r="B240" s="8">
        <v>11.36</v>
      </c>
      <c r="C240" s="10">
        <f t="shared" si="6"/>
        <v>1.6373239436619717E-2</v>
      </c>
      <c r="D240" s="50">
        <f t="shared" si="7"/>
        <v>0.186</v>
      </c>
    </row>
    <row r="241" spans="1:4" x14ac:dyDescent="0.2">
      <c r="A241" s="4">
        <v>45635</v>
      </c>
      <c r="B241" s="8">
        <v>11.44</v>
      </c>
      <c r="C241" s="10">
        <f t="shared" si="6"/>
        <v>1.6258741258741258E-2</v>
      </c>
      <c r="D241" s="50">
        <f t="shared" si="7"/>
        <v>0.186</v>
      </c>
    </row>
    <row r="242" spans="1:4" x14ac:dyDescent="0.2">
      <c r="A242" s="4">
        <v>45636</v>
      </c>
      <c r="B242" s="8">
        <v>11.09</v>
      </c>
      <c r="C242" s="10">
        <f t="shared" si="6"/>
        <v>1.6771866546438231E-2</v>
      </c>
      <c r="D242" s="50">
        <f t="shared" si="7"/>
        <v>0.186</v>
      </c>
    </row>
    <row r="243" spans="1:4" x14ac:dyDescent="0.2">
      <c r="A243" s="4">
        <v>45637</v>
      </c>
      <c r="B243" s="8">
        <v>10.93</v>
      </c>
      <c r="C243" s="10">
        <f t="shared" si="6"/>
        <v>1.7017383348581886E-2</v>
      </c>
      <c r="D243" s="50">
        <f t="shared" si="7"/>
        <v>0.186</v>
      </c>
    </row>
    <row r="244" spans="1:4" x14ac:dyDescent="0.2">
      <c r="A244" s="4">
        <v>45638</v>
      </c>
      <c r="B244" s="8">
        <v>10.87</v>
      </c>
      <c r="C244" s="10">
        <f t="shared" si="6"/>
        <v>1.7111315547378107E-2</v>
      </c>
      <c r="D244" s="50">
        <f t="shared" si="7"/>
        <v>0.186</v>
      </c>
    </row>
    <row r="245" spans="1:4" x14ac:dyDescent="0.2">
      <c r="A245" s="4">
        <v>45639</v>
      </c>
      <c r="B245" s="8">
        <v>10.97</v>
      </c>
      <c r="C245" s="10">
        <f t="shared" si="6"/>
        <v>1.6955332725615314E-2</v>
      </c>
      <c r="D245" s="50">
        <f t="shared" si="7"/>
        <v>0.186</v>
      </c>
    </row>
    <row r="246" spans="1:4" x14ac:dyDescent="0.2">
      <c r="A246" s="4">
        <v>45642</v>
      </c>
      <c r="B246" s="8">
        <v>10.98</v>
      </c>
      <c r="C246" s="10">
        <f t="shared" si="6"/>
        <v>1.6939890710382512E-2</v>
      </c>
      <c r="D246" s="50">
        <f t="shared" si="7"/>
        <v>0.186</v>
      </c>
    </row>
    <row r="247" spans="1:4" x14ac:dyDescent="0.2">
      <c r="A247" s="4">
        <v>45643</v>
      </c>
      <c r="B247" s="8">
        <v>11.3</v>
      </c>
      <c r="C247" s="10">
        <f t="shared" si="6"/>
        <v>1.6460176991150443E-2</v>
      </c>
      <c r="D247" s="50">
        <f t="shared" si="7"/>
        <v>0.186</v>
      </c>
    </row>
    <row r="248" spans="1:4" x14ac:dyDescent="0.2">
      <c r="A248" s="4">
        <v>45644</v>
      </c>
      <c r="B248" s="8">
        <v>11.26</v>
      </c>
      <c r="C248" s="10">
        <f t="shared" si="6"/>
        <v>1.6518650088809948E-2</v>
      </c>
      <c r="D248" s="50">
        <f t="shared" si="7"/>
        <v>0.186</v>
      </c>
    </row>
    <row r="249" spans="1:4" x14ac:dyDescent="0.2">
      <c r="A249" s="4">
        <v>45645</v>
      </c>
      <c r="B249" s="8">
        <v>10.96</v>
      </c>
      <c r="C249" s="10">
        <f t="shared" si="6"/>
        <v>1.6970802919708029E-2</v>
      </c>
      <c r="D249" s="50">
        <f t="shared" si="7"/>
        <v>0.186</v>
      </c>
    </row>
    <row r="250" spans="1:4" x14ac:dyDescent="0.2">
      <c r="A250" s="4">
        <v>45646</v>
      </c>
      <c r="B250" s="8">
        <v>11.35</v>
      </c>
      <c r="C250" s="10">
        <f t="shared" si="6"/>
        <v>1.6387665198237887E-2</v>
      </c>
      <c r="D250" s="50">
        <f t="shared" si="7"/>
        <v>0.186</v>
      </c>
    </row>
    <row r="251" spans="1:4" x14ac:dyDescent="0.2">
      <c r="A251" s="4">
        <v>45649</v>
      </c>
      <c r="B251" s="8">
        <v>11.39</v>
      </c>
      <c r="C251" s="10">
        <f t="shared" si="6"/>
        <v>1.6330114135206322E-2</v>
      </c>
      <c r="D251" s="50">
        <f t="shared" si="7"/>
        <v>0.186</v>
      </c>
    </row>
    <row r="252" spans="1:4" x14ac:dyDescent="0.2">
      <c r="A252" s="4">
        <v>45650</v>
      </c>
      <c r="B252" s="8">
        <v>11.56</v>
      </c>
      <c r="C252" s="10">
        <f t="shared" si="6"/>
        <v>1.6089965397923876E-2</v>
      </c>
      <c r="D252" s="50">
        <f t="shared" si="7"/>
        <v>0.186</v>
      </c>
    </row>
    <row r="253" spans="1:4" x14ac:dyDescent="0.2">
      <c r="A253" s="4">
        <v>45653</v>
      </c>
      <c r="B253" s="8">
        <v>11.55</v>
      </c>
      <c r="C253" s="10">
        <f t="shared" si="6"/>
        <v>1.6103896103896103E-2</v>
      </c>
      <c r="D253" s="50">
        <f t="shared" si="7"/>
        <v>0.186</v>
      </c>
    </row>
    <row r="254" spans="1:4" x14ac:dyDescent="0.2">
      <c r="A254" s="4">
        <v>45656</v>
      </c>
      <c r="B254" s="8">
        <v>11.57</v>
      </c>
      <c r="C254" s="10">
        <f t="shared" si="6"/>
        <v>1.6076058772687987E-2</v>
      </c>
      <c r="D254" s="50">
        <f t="shared" si="7"/>
        <v>0.186</v>
      </c>
    </row>
    <row r="255" spans="1:4" x14ac:dyDescent="0.2">
      <c r="A255" s="4">
        <v>45657</v>
      </c>
      <c r="B255" s="8">
        <v>11.57</v>
      </c>
      <c r="C255" s="10">
        <f t="shared" si="6"/>
        <v>1.6076058772687987E-2</v>
      </c>
      <c r="D255" s="50">
        <f t="shared" si="7"/>
        <v>0.186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E4C2-2BF3-F64C-BF90-C2CA4A2BBEF9}">
  <dimension ref="A1:Q255"/>
  <sheetViews>
    <sheetView topLeftCell="G1" zoomScale="70" zoomScaleNormal="70" workbookViewId="0">
      <selection activeCell="S41" sqref="S41"/>
    </sheetView>
  </sheetViews>
  <sheetFormatPr defaultColWidth="11.42578125" defaultRowHeight="12.75" x14ac:dyDescent="0.2"/>
  <cols>
    <col min="1" max="1" width="15.28515625" customWidth="1"/>
    <col min="2" max="2" width="19" style="4" customWidth="1"/>
    <col min="3" max="6" width="19" style="9" customWidth="1"/>
    <col min="7" max="7" width="19" style="1" customWidth="1"/>
    <col min="8" max="8" width="13.85546875" style="1" customWidth="1"/>
    <col min="9" max="9" width="19" style="1" customWidth="1"/>
  </cols>
  <sheetData>
    <row r="1" spans="1:17" ht="15" x14ac:dyDescent="0.25">
      <c r="A1" s="2" t="s">
        <v>0</v>
      </c>
      <c r="B1" s="5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  <c r="H1" s="89"/>
      <c r="I1" s="49">
        <v>1000</v>
      </c>
      <c r="J1" s="90" t="s">
        <v>10</v>
      </c>
      <c r="K1" s="84" t="s">
        <v>11</v>
      </c>
      <c r="L1" s="84" t="s">
        <v>12</v>
      </c>
      <c r="M1" s="84" t="s">
        <v>13</v>
      </c>
      <c r="N1" s="84" t="s">
        <v>14</v>
      </c>
      <c r="O1" s="84" t="s">
        <v>16</v>
      </c>
      <c r="P1" s="84" t="s">
        <v>15</v>
      </c>
      <c r="Q1" s="51" t="s">
        <v>17</v>
      </c>
    </row>
    <row r="2" spans="1:17" x14ac:dyDescent="0.2">
      <c r="A2" t="s">
        <v>9</v>
      </c>
      <c r="B2" s="4">
        <v>45293</v>
      </c>
      <c r="C2" s="8">
        <v>9.34</v>
      </c>
      <c r="D2" s="8">
        <v>9.3699999999999992</v>
      </c>
      <c r="E2" s="8">
        <v>9.2799999999999994</v>
      </c>
      <c r="F2" s="8">
        <v>9.2799999999999994</v>
      </c>
      <c r="G2" s="3">
        <v>3743</v>
      </c>
      <c r="H2" s="3"/>
      <c r="I2" s="91"/>
      <c r="J2" s="92">
        <v>45323</v>
      </c>
      <c r="K2" s="61">
        <v>9.2799999999999994</v>
      </c>
      <c r="L2" s="62">
        <f>ROUNDDOWN(I1/K2,0)</f>
        <v>107</v>
      </c>
      <c r="M2" s="63">
        <f>L2*K2</f>
        <v>992.95999999999992</v>
      </c>
      <c r="N2" s="64">
        <f>I1-M2</f>
        <v>7.0400000000000773</v>
      </c>
      <c r="O2" s="64">
        <f>0.0651+0.1209</f>
        <v>0.186</v>
      </c>
      <c r="P2" s="63">
        <f>M2+N2</f>
        <v>1000</v>
      </c>
      <c r="Q2" s="88">
        <f>P2/P2</f>
        <v>1</v>
      </c>
    </row>
    <row r="3" spans="1:17" ht="13.5" thickBot="1" x14ac:dyDescent="0.25">
      <c r="A3" t="s">
        <v>9</v>
      </c>
      <c r="B3" s="4">
        <v>45294</v>
      </c>
      <c r="C3" s="8">
        <v>9.31</v>
      </c>
      <c r="D3" s="8">
        <v>9.36</v>
      </c>
      <c r="E3" s="8">
        <v>9.23</v>
      </c>
      <c r="F3" s="8">
        <v>9.3000000000000007</v>
      </c>
      <c r="G3" s="3">
        <v>65418</v>
      </c>
      <c r="H3" s="3"/>
      <c r="I3" s="52"/>
      <c r="J3" s="85">
        <v>45657</v>
      </c>
      <c r="K3" s="86">
        <v>11.57</v>
      </c>
      <c r="L3" s="87">
        <f>L2</f>
        <v>107</v>
      </c>
      <c r="M3" s="86">
        <f>L3*K3</f>
        <v>1237.99</v>
      </c>
      <c r="N3" s="86">
        <f>N2</f>
        <v>7.0400000000000773</v>
      </c>
      <c r="O3" s="86">
        <f>O2*L3</f>
        <v>19.902000000000001</v>
      </c>
      <c r="P3" s="86">
        <f>M3+N3+O3</f>
        <v>1264.9320000000002</v>
      </c>
      <c r="Q3" s="68">
        <f>P3/P2</f>
        <v>1.2649320000000002</v>
      </c>
    </row>
    <row r="4" spans="1:17" x14ac:dyDescent="0.2">
      <c r="A4" t="s">
        <v>9</v>
      </c>
      <c r="B4" s="4">
        <v>45295</v>
      </c>
      <c r="C4" s="8">
        <v>9.3000000000000007</v>
      </c>
      <c r="D4" s="8">
        <v>9.69</v>
      </c>
      <c r="E4" s="8">
        <v>9.3000000000000007</v>
      </c>
      <c r="F4" s="8">
        <v>9.69</v>
      </c>
      <c r="G4" s="3">
        <v>38435</v>
      </c>
      <c r="H4" s="3"/>
      <c r="I4" s="3"/>
    </row>
    <row r="5" spans="1:17" x14ac:dyDescent="0.2">
      <c r="A5" t="s">
        <v>9</v>
      </c>
      <c r="B5" s="4">
        <v>45296</v>
      </c>
      <c r="C5" s="8">
        <v>9.69</v>
      </c>
      <c r="D5" s="8">
        <v>9.69</v>
      </c>
      <c r="E5" s="8">
        <v>9.32</v>
      </c>
      <c r="F5" s="8">
        <v>9.34</v>
      </c>
      <c r="G5" s="3">
        <v>60329</v>
      </c>
      <c r="H5" s="3"/>
      <c r="I5" s="3"/>
    </row>
    <row r="6" spans="1:17" x14ac:dyDescent="0.2">
      <c r="A6" t="s">
        <v>9</v>
      </c>
      <c r="B6" s="4">
        <v>45299</v>
      </c>
      <c r="C6" s="8">
        <v>9.48</v>
      </c>
      <c r="D6" s="8">
        <v>9.5299999999999994</v>
      </c>
      <c r="E6" s="8">
        <v>9.36</v>
      </c>
      <c r="F6" s="8">
        <v>9.5299999999999994</v>
      </c>
      <c r="G6" s="3">
        <v>34215</v>
      </c>
      <c r="H6" s="3"/>
      <c r="I6" s="3"/>
    </row>
    <row r="7" spans="1:17" x14ac:dyDescent="0.2">
      <c r="A7" t="s">
        <v>9</v>
      </c>
      <c r="B7" s="4">
        <v>45300</v>
      </c>
      <c r="C7" s="8">
        <v>9.57</v>
      </c>
      <c r="D7" s="8">
        <v>9.57</v>
      </c>
      <c r="E7" s="8">
        <v>9.42</v>
      </c>
      <c r="F7" s="8">
        <v>9.51</v>
      </c>
      <c r="G7" s="3">
        <v>22803</v>
      </c>
      <c r="H7" s="3"/>
      <c r="I7" s="3"/>
    </row>
    <row r="8" spans="1:17" x14ac:dyDescent="0.2">
      <c r="A8" t="s">
        <v>9</v>
      </c>
      <c r="B8" s="4">
        <v>45301</v>
      </c>
      <c r="C8" s="8">
        <v>9.4499999999999993</v>
      </c>
      <c r="D8" s="8">
        <v>9.51</v>
      </c>
      <c r="E8" s="8">
        <v>9.3800000000000008</v>
      </c>
      <c r="F8" s="8">
        <v>9.4700000000000006</v>
      </c>
      <c r="G8" s="3">
        <v>25378</v>
      </c>
      <c r="H8" s="3"/>
      <c r="I8" s="3"/>
    </row>
    <row r="9" spans="1:17" x14ac:dyDescent="0.2">
      <c r="A9" t="s">
        <v>9</v>
      </c>
      <c r="B9" s="4">
        <v>45302</v>
      </c>
      <c r="C9" s="8">
        <v>9.49</v>
      </c>
      <c r="D9" s="8">
        <v>9.52</v>
      </c>
      <c r="E9" s="8">
        <v>9.4</v>
      </c>
      <c r="F9" s="8">
        <v>9.52</v>
      </c>
      <c r="G9" s="3">
        <v>24590</v>
      </c>
      <c r="H9" s="3"/>
      <c r="I9" s="3"/>
    </row>
    <row r="10" spans="1:17" x14ac:dyDescent="0.2">
      <c r="A10" t="s">
        <v>9</v>
      </c>
      <c r="B10" s="4">
        <v>45303</v>
      </c>
      <c r="C10" s="8">
        <v>9.6</v>
      </c>
      <c r="D10" s="8">
        <v>9.6</v>
      </c>
      <c r="E10" s="8">
        <v>9.44</v>
      </c>
      <c r="F10" s="8">
        <v>9.5500000000000007</v>
      </c>
      <c r="G10" s="3">
        <v>24201</v>
      </c>
      <c r="H10" s="3"/>
      <c r="I10" s="3"/>
    </row>
    <row r="11" spans="1:17" x14ac:dyDescent="0.2">
      <c r="A11" t="s">
        <v>9</v>
      </c>
      <c r="B11" s="4">
        <v>45306</v>
      </c>
      <c r="C11" s="8">
        <v>9.6</v>
      </c>
      <c r="D11" s="8">
        <v>9.6</v>
      </c>
      <c r="E11" s="8">
        <v>9.41</v>
      </c>
      <c r="F11" s="8">
        <v>9.4499999999999993</v>
      </c>
      <c r="G11" s="3">
        <v>41724</v>
      </c>
      <c r="H11" s="3"/>
      <c r="I11" s="3"/>
    </row>
    <row r="12" spans="1:17" x14ac:dyDescent="0.2">
      <c r="A12" t="s">
        <v>9</v>
      </c>
      <c r="B12" s="4">
        <v>45307</v>
      </c>
      <c r="C12" s="8">
        <v>9.4600000000000009</v>
      </c>
      <c r="D12" s="8">
        <v>9.5399999999999991</v>
      </c>
      <c r="E12" s="8">
        <v>9.4</v>
      </c>
      <c r="F12" s="8">
        <v>9.48</v>
      </c>
      <c r="G12" s="3">
        <v>18242</v>
      </c>
      <c r="H12" s="3"/>
      <c r="I12" s="3"/>
    </row>
    <row r="13" spans="1:17" x14ac:dyDescent="0.2">
      <c r="A13" t="s">
        <v>9</v>
      </c>
      <c r="B13" s="4">
        <v>45308</v>
      </c>
      <c r="C13" s="8">
        <v>9.4600000000000009</v>
      </c>
      <c r="D13" s="8">
        <v>9.6</v>
      </c>
      <c r="E13" s="8">
        <v>9.36</v>
      </c>
      <c r="F13" s="8">
        <v>9.36</v>
      </c>
      <c r="G13" s="3">
        <v>20617</v>
      </c>
      <c r="H13" s="3"/>
      <c r="I13" s="3"/>
    </row>
    <row r="14" spans="1:17" x14ac:dyDescent="0.2">
      <c r="A14" t="s">
        <v>9</v>
      </c>
      <c r="B14" s="4">
        <v>45309</v>
      </c>
      <c r="C14" s="8">
        <v>9.5</v>
      </c>
      <c r="D14" s="8">
        <v>9.61</v>
      </c>
      <c r="E14" s="8">
        <v>9.5</v>
      </c>
      <c r="F14" s="8">
        <v>9.56</v>
      </c>
      <c r="G14" s="3">
        <v>35375</v>
      </c>
      <c r="H14" s="3"/>
      <c r="I14" s="3"/>
    </row>
    <row r="15" spans="1:17" x14ac:dyDescent="0.2">
      <c r="A15" t="s">
        <v>9</v>
      </c>
      <c r="B15" s="4">
        <v>45310</v>
      </c>
      <c r="C15" s="8">
        <v>9.5500000000000007</v>
      </c>
      <c r="D15" s="8">
        <v>9.5500000000000007</v>
      </c>
      <c r="E15" s="8">
        <v>9.3699999999999992</v>
      </c>
      <c r="F15" s="8">
        <v>9.4</v>
      </c>
      <c r="G15" s="3">
        <v>36371</v>
      </c>
      <c r="H15" s="3"/>
      <c r="I15" s="3"/>
    </row>
    <row r="16" spans="1:17" x14ac:dyDescent="0.2">
      <c r="A16" t="s">
        <v>9</v>
      </c>
      <c r="B16" s="4">
        <v>45313</v>
      </c>
      <c r="C16" s="8">
        <v>9.5</v>
      </c>
      <c r="D16" s="8">
        <v>9.5500000000000007</v>
      </c>
      <c r="E16" s="8">
        <v>9.3699999999999992</v>
      </c>
      <c r="F16" s="8">
        <v>9.5299999999999994</v>
      </c>
      <c r="G16" s="3">
        <v>15601</v>
      </c>
      <c r="H16" s="3"/>
      <c r="I16" s="3"/>
    </row>
    <row r="17" spans="1:9" x14ac:dyDescent="0.2">
      <c r="A17" t="s">
        <v>9</v>
      </c>
      <c r="B17" s="4">
        <v>45314</v>
      </c>
      <c r="C17" s="8">
        <v>9.5299999999999994</v>
      </c>
      <c r="D17" s="8">
        <v>9.7200000000000006</v>
      </c>
      <c r="E17" s="8">
        <v>9.48</v>
      </c>
      <c r="F17" s="8">
        <v>9.65</v>
      </c>
      <c r="G17" s="3">
        <v>47914</v>
      </c>
      <c r="H17" s="3"/>
      <c r="I17" s="3"/>
    </row>
    <row r="18" spans="1:9" x14ac:dyDescent="0.2">
      <c r="A18" t="s">
        <v>9</v>
      </c>
      <c r="B18" s="4">
        <v>45315</v>
      </c>
      <c r="C18" s="8">
        <v>9.65</v>
      </c>
      <c r="D18" s="8">
        <v>9.7100000000000009</v>
      </c>
      <c r="E18" s="8">
        <v>9.6</v>
      </c>
      <c r="F18" s="8">
        <v>9.6</v>
      </c>
      <c r="G18" s="3">
        <v>14188</v>
      </c>
      <c r="H18" s="3"/>
      <c r="I18" s="3"/>
    </row>
    <row r="19" spans="1:9" x14ac:dyDescent="0.2">
      <c r="A19" t="s">
        <v>9</v>
      </c>
      <c r="B19" s="4">
        <v>45316</v>
      </c>
      <c r="C19" s="8">
        <v>9.6300000000000008</v>
      </c>
      <c r="D19" s="8">
        <v>9.94</v>
      </c>
      <c r="E19" s="8">
        <v>9.6300000000000008</v>
      </c>
      <c r="F19" s="8">
        <v>9.64</v>
      </c>
      <c r="G19" s="3">
        <v>28577</v>
      </c>
      <c r="H19" s="3"/>
      <c r="I19" s="3"/>
    </row>
    <row r="20" spans="1:9" x14ac:dyDescent="0.2">
      <c r="A20" t="s">
        <v>9</v>
      </c>
      <c r="B20" s="4">
        <v>45320</v>
      </c>
      <c r="C20" s="8">
        <v>9.7200000000000006</v>
      </c>
      <c r="D20" s="8">
        <v>10.23</v>
      </c>
      <c r="E20" s="8">
        <v>9.7200000000000006</v>
      </c>
      <c r="F20" s="8">
        <v>10.09</v>
      </c>
      <c r="G20" s="3">
        <v>101838</v>
      </c>
      <c r="H20" s="3"/>
      <c r="I20" s="3"/>
    </row>
    <row r="21" spans="1:9" x14ac:dyDescent="0.2">
      <c r="A21" t="s">
        <v>9</v>
      </c>
      <c r="B21" s="4">
        <v>45321</v>
      </c>
      <c r="C21" s="8">
        <v>10.16</v>
      </c>
      <c r="D21" s="8">
        <v>10.16</v>
      </c>
      <c r="E21" s="8">
        <v>9.9</v>
      </c>
      <c r="F21" s="8">
        <v>9.9700000000000006</v>
      </c>
      <c r="G21" s="3">
        <v>60971</v>
      </c>
      <c r="H21" s="3"/>
      <c r="I21" s="3"/>
    </row>
    <row r="22" spans="1:9" x14ac:dyDescent="0.2">
      <c r="A22" t="s">
        <v>9</v>
      </c>
      <c r="B22" s="4">
        <v>45322</v>
      </c>
      <c r="C22" s="8">
        <v>9.98</v>
      </c>
      <c r="D22" s="8">
        <v>9.98</v>
      </c>
      <c r="E22" s="8">
        <v>9.81</v>
      </c>
      <c r="F22" s="8">
        <v>9.8800000000000008</v>
      </c>
      <c r="G22" s="3">
        <v>194006</v>
      </c>
      <c r="H22" s="3"/>
      <c r="I22" s="3"/>
    </row>
    <row r="23" spans="1:9" x14ac:dyDescent="0.2">
      <c r="A23" t="s">
        <v>9</v>
      </c>
      <c r="B23" s="4">
        <v>45323</v>
      </c>
      <c r="C23" s="8">
        <v>9.92</v>
      </c>
      <c r="D23" s="8">
        <v>10</v>
      </c>
      <c r="E23" s="8">
        <v>9.77</v>
      </c>
      <c r="F23" s="8">
        <v>9.9499999999999993</v>
      </c>
      <c r="G23" s="3">
        <v>30892</v>
      </c>
      <c r="H23" s="3"/>
      <c r="I23" s="3"/>
    </row>
    <row r="24" spans="1:9" x14ac:dyDescent="0.2">
      <c r="A24" t="s">
        <v>9</v>
      </c>
      <c r="B24" s="4">
        <v>45324</v>
      </c>
      <c r="C24" s="8">
        <v>10.15</v>
      </c>
      <c r="D24" s="8">
        <v>10.15</v>
      </c>
      <c r="E24" s="8">
        <v>9.81</v>
      </c>
      <c r="F24" s="8">
        <v>9.8699999999999992</v>
      </c>
      <c r="G24" s="3">
        <v>69261</v>
      </c>
      <c r="H24" s="3"/>
      <c r="I24" s="3"/>
    </row>
    <row r="25" spans="1:9" x14ac:dyDescent="0.2">
      <c r="A25" t="s">
        <v>9</v>
      </c>
      <c r="B25" s="4">
        <v>45327</v>
      </c>
      <c r="C25" s="8">
        <v>9.93</v>
      </c>
      <c r="D25" s="8">
        <v>9.93</v>
      </c>
      <c r="E25" s="8">
        <v>9.77</v>
      </c>
      <c r="F25" s="8">
        <v>9.92</v>
      </c>
      <c r="G25" s="3">
        <v>34036</v>
      </c>
      <c r="H25" s="3"/>
      <c r="I25" s="3"/>
    </row>
    <row r="26" spans="1:9" x14ac:dyDescent="0.2">
      <c r="A26" t="s">
        <v>9</v>
      </c>
      <c r="B26" s="4">
        <v>45328</v>
      </c>
      <c r="C26" s="8">
        <v>9.93</v>
      </c>
      <c r="D26" s="8">
        <v>9.93</v>
      </c>
      <c r="E26" s="8">
        <v>9.85</v>
      </c>
      <c r="F26" s="8">
        <v>9.92</v>
      </c>
      <c r="G26" s="3">
        <v>25472</v>
      </c>
      <c r="H26" s="3"/>
      <c r="I26" s="3"/>
    </row>
    <row r="27" spans="1:9" x14ac:dyDescent="0.2">
      <c r="A27" t="s">
        <v>9</v>
      </c>
      <c r="B27" s="4">
        <v>45329</v>
      </c>
      <c r="C27" s="8">
        <v>9.89</v>
      </c>
      <c r="D27" s="8">
        <v>9.9849999999999994</v>
      </c>
      <c r="E27" s="8">
        <v>9.8800000000000008</v>
      </c>
      <c r="F27" s="8">
        <v>9.93</v>
      </c>
      <c r="G27" s="3">
        <v>45618</v>
      </c>
      <c r="H27" s="3"/>
      <c r="I27" s="3"/>
    </row>
    <row r="28" spans="1:9" x14ac:dyDescent="0.2">
      <c r="A28" t="s">
        <v>9</v>
      </c>
      <c r="B28" s="4">
        <v>45330</v>
      </c>
      <c r="C28" s="8">
        <v>10.029999999999999</v>
      </c>
      <c r="D28" s="8">
        <v>10.029999999999999</v>
      </c>
      <c r="E28" s="8">
        <v>9.77</v>
      </c>
      <c r="F28" s="8">
        <v>9.81</v>
      </c>
      <c r="G28" s="3">
        <v>21405</v>
      </c>
      <c r="H28" s="3"/>
      <c r="I28" s="3"/>
    </row>
    <row r="29" spans="1:9" x14ac:dyDescent="0.2">
      <c r="A29" t="s">
        <v>9</v>
      </c>
      <c r="B29" s="4">
        <v>45331</v>
      </c>
      <c r="C29" s="8">
        <v>9.83</v>
      </c>
      <c r="D29" s="8">
        <v>10.11</v>
      </c>
      <c r="E29" s="8">
        <v>9.76</v>
      </c>
      <c r="F29" s="8">
        <v>10.11</v>
      </c>
      <c r="G29" s="3">
        <v>54642</v>
      </c>
      <c r="H29" s="3"/>
      <c r="I29" s="3"/>
    </row>
    <row r="30" spans="1:9" x14ac:dyDescent="0.2">
      <c r="A30" t="s">
        <v>9</v>
      </c>
      <c r="B30" s="4">
        <v>45334</v>
      </c>
      <c r="C30" s="8">
        <v>10.18</v>
      </c>
      <c r="D30" s="8">
        <v>10.18</v>
      </c>
      <c r="E30" s="8">
        <v>9.84</v>
      </c>
      <c r="F30" s="8">
        <v>9.8699999999999992</v>
      </c>
      <c r="G30" s="3">
        <v>49898</v>
      </c>
      <c r="H30" s="3"/>
      <c r="I30" s="3"/>
    </row>
    <row r="31" spans="1:9" x14ac:dyDescent="0.2">
      <c r="A31" t="s">
        <v>9</v>
      </c>
      <c r="B31" s="4">
        <v>45335</v>
      </c>
      <c r="C31" s="8">
        <v>9.91</v>
      </c>
      <c r="D31" s="8">
        <v>9.92</v>
      </c>
      <c r="E31" s="8">
        <v>9.77</v>
      </c>
      <c r="F31" s="8">
        <v>9.7799999999999994</v>
      </c>
      <c r="G31" s="3">
        <v>15402</v>
      </c>
      <c r="H31" s="3"/>
      <c r="I31" s="3"/>
    </row>
    <row r="32" spans="1:9" x14ac:dyDescent="0.2">
      <c r="A32" t="s">
        <v>9</v>
      </c>
      <c r="B32" s="4">
        <v>45336</v>
      </c>
      <c r="C32" s="8">
        <v>9.8000000000000007</v>
      </c>
      <c r="D32" s="8">
        <v>9.8000000000000007</v>
      </c>
      <c r="E32" s="8">
        <v>9.57</v>
      </c>
      <c r="F32" s="8">
        <v>9.6300000000000008</v>
      </c>
      <c r="G32" s="3">
        <v>46973</v>
      </c>
      <c r="H32" s="3"/>
      <c r="I32" s="3"/>
    </row>
    <row r="33" spans="1:9" x14ac:dyDescent="0.2">
      <c r="A33" t="s">
        <v>9</v>
      </c>
      <c r="B33" s="4">
        <v>45337</v>
      </c>
      <c r="C33" s="8">
        <v>9.68</v>
      </c>
      <c r="D33" s="8">
        <v>9.73</v>
      </c>
      <c r="E33" s="8">
        <v>9.57</v>
      </c>
      <c r="F33" s="8">
        <v>9.6300000000000008</v>
      </c>
      <c r="G33" s="3">
        <v>32112</v>
      </c>
      <c r="H33" s="3"/>
      <c r="I33" s="3"/>
    </row>
    <row r="34" spans="1:9" x14ac:dyDescent="0.2">
      <c r="A34" t="s">
        <v>9</v>
      </c>
      <c r="B34" s="4">
        <v>45338</v>
      </c>
      <c r="C34" s="8">
        <v>9.6300000000000008</v>
      </c>
      <c r="D34" s="8">
        <v>9.8800000000000008</v>
      </c>
      <c r="E34" s="8">
        <v>9.57</v>
      </c>
      <c r="F34" s="8">
        <v>9.8000000000000007</v>
      </c>
      <c r="G34" s="3">
        <v>52540</v>
      </c>
      <c r="H34" s="3"/>
      <c r="I34" s="3"/>
    </row>
    <row r="35" spans="1:9" x14ac:dyDescent="0.2">
      <c r="A35" t="s">
        <v>9</v>
      </c>
      <c r="B35" s="4">
        <v>45341</v>
      </c>
      <c r="C35" s="8">
        <v>9.7100000000000009</v>
      </c>
      <c r="D35" s="8">
        <v>9.7799999999999994</v>
      </c>
      <c r="E35" s="8">
        <v>9.5500000000000007</v>
      </c>
      <c r="F35" s="8">
        <v>9.5500000000000007</v>
      </c>
      <c r="G35" s="3">
        <v>24759</v>
      </c>
      <c r="H35" s="3"/>
      <c r="I35" s="3"/>
    </row>
    <row r="36" spans="1:9" x14ac:dyDescent="0.2">
      <c r="A36" t="s">
        <v>9</v>
      </c>
      <c r="B36" s="4">
        <v>45342</v>
      </c>
      <c r="C36" s="8">
        <v>9.66</v>
      </c>
      <c r="D36" s="8">
        <v>9.7200000000000006</v>
      </c>
      <c r="E36" s="8">
        <v>9.66</v>
      </c>
      <c r="F36" s="8">
        <v>9.7200000000000006</v>
      </c>
      <c r="G36" s="3">
        <v>9394</v>
      </c>
      <c r="H36" s="3"/>
      <c r="I36" s="3"/>
    </row>
    <row r="37" spans="1:9" x14ac:dyDescent="0.2">
      <c r="A37" t="s">
        <v>9</v>
      </c>
      <c r="B37" s="4">
        <v>45343</v>
      </c>
      <c r="C37" s="8">
        <v>9.76</v>
      </c>
      <c r="D37" s="8">
        <v>9.76</v>
      </c>
      <c r="E37" s="8">
        <v>9.5</v>
      </c>
      <c r="F37" s="8">
        <v>9.5</v>
      </c>
      <c r="G37" s="3">
        <v>40170</v>
      </c>
      <c r="H37" s="3"/>
      <c r="I37" s="3"/>
    </row>
    <row r="38" spans="1:9" x14ac:dyDescent="0.2">
      <c r="A38" t="s">
        <v>9</v>
      </c>
      <c r="B38" s="4">
        <v>45344</v>
      </c>
      <c r="C38" s="8">
        <v>9.6</v>
      </c>
      <c r="D38" s="8">
        <v>9.86</v>
      </c>
      <c r="E38" s="8">
        <v>9.6</v>
      </c>
      <c r="F38" s="8">
        <v>9.86</v>
      </c>
      <c r="G38" s="3">
        <v>2505371</v>
      </c>
      <c r="H38" s="3"/>
      <c r="I38" s="3"/>
    </row>
    <row r="39" spans="1:9" x14ac:dyDescent="0.2">
      <c r="A39" t="s">
        <v>9</v>
      </c>
      <c r="B39" s="4">
        <v>45345</v>
      </c>
      <c r="C39" s="8">
        <v>9.82</v>
      </c>
      <c r="D39" s="8">
        <v>9.82</v>
      </c>
      <c r="E39" s="8">
        <v>9.64</v>
      </c>
      <c r="F39" s="8">
        <v>9.67</v>
      </c>
      <c r="G39" s="3">
        <v>46783</v>
      </c>
      <c r="H39" s="3"/>
      <c r="I39" s="3"/>
    </row>
    <row r="40" spans="1:9" x14ac:dyDescent="0.2">
      <c r="A40" t="s">
        <v>9</v>
      </c>
      <c r="B40" s="4">
        <v>45348</v>
      </c>
      <c r="C40" s="8">
        <v>9.7799999999999994</v>
      </c>
      <c r="D40" s="8">
        <v>9.7799999999999994</v>
      </c>
      <c r="E40" s="8">
        <v>9.5</v>
      </c>
      <c r="F40" s="8">
        <v>9.6300000000000008</v>
      </c>
      <c r="G40" s="3">
        <v>84354</v>
      </c>
      <c r="H40" s="3"/>
      <c r="I40" s="3"/>
    </row>
    <row r="41" spans="1:9" x14ac:dyDescent="0.2">
      <c r="A41" t="s">
        <v>9</v>
      </c>
      <c r="B41" s="4">
        <v>45349</v>
      </c>
      <c r="C41" s="8">
        <v>9.6</v>
      </c>
      <c r="D41" s="8">
        <v>9.6199999999999992</v>
      </c>
      <c r="E41" s="8">
        <v>9.5</v>
      </c>
      <c r="F41" s="8">
        <v>9.52</v>
      </c>
      <c r="G41" s="3">
        <v>45999</v>
      </c>
      <c r="H41" s="3"/>
      <c r="I41" s="3"/>
    </row>
    <row r="42" spans="1:9" x14ac:dyDescent="0.2">
      <c r="A42" t="s">
        <v>9</v>
      </c>
      <c r="B42" s="4">
        <v>45350</v>
      </c>
      <c r="C42" s="8">
        <v>9.52</v>
      </c>
      <c r="D42" s="8">
        <v>9.7200000000000006</v>
      </c>
      <c r="E42" s="8">
        <v>9.52</v>
      </c>
      <c r="F42" s="8">
        <v>9.66</v>
      </c>
      <c r="G42" s="3">
        <v>45026</v>
      </c>
      <c r="H42" s="3"/>
      <c r="I42" s="3"/>
    </row>
    <row r="43" spans="1:9" x14ac:dyDescent="0.2">
      <c r="A43" t="s">
        <v>9</v>
      </c>
      <c r="B43" s="4">
        <v>45351</v>
      </c>
      <c r="C43" s="8">
        <v>9.58</v>
      </c>
      <c r="D43" s="8">
        <v>9.73</v>
      </c>
      <c r="E43" s="8">
        <v>9.5500000000000007</v>
      </c>
      <c r="F43" s="8">
        <v>9.7200000000000006</v>
      </c>
      <c r="G43" s="3">
        <v>145803</v>
      </c>
      <c r="H43" s="3"/>
      <c r="I43" s="3"/>
    </row>
    <row r="44" spans="1:9" x14ac:dyDescent="0.2">
      <c r="A44" t="s">
        <v>9</v>
      </c>
      <c r="B44" s="4">
        <v>45352</v>
      </c>
      <c r="C44" s="8">
        <v>9.7200000000000006</v>
      </c>
      <c r="D44" s="8">
        <v>9.73</v>
      </c>
      <c r="E44" s="8">
        <v>9.6</v>
      </c>
      <c r="F44" s="8">
        <v>9.6199999999999992</v>
      </c>
      <c r="G44" s="3">
        <v>53538</v>
      </c>
      <c r="H44" s="3"/>
      <c r="I44" s="3"/>
    </row>
    <row r="45" spans="1:9" x14ac:dyDescent="0.2">
      <c r="A45" t="s">
        <v>9</v>
      </c>
      <c r="B45" s="4">
        <v>45355</v>
      </c>
      <c r="C45" s="8">
        <v>9.7799999999999994</v>
      </c>
      <c r="D45" s="8">
        <v>9.7799999999999994</v>
      </c>
      <c r="E45" s="8">
        <v>9.5500000000000007</v>
      </c>
      <c r="F45" s="8">
        <v>9.7100000000000009</v>
      </c>
      <c r="G45" s="3">
        <v>54766</v>
      </c>
      <c r="H45" s="3"/>
      <c r="I45" s="3"/>
    </row>
    <row r="46" spans="1:9" x14ac:dyDescent="0.2">
      <c r="A46" t="s">
        <v>9</v>
      </c>
      <c r="B46" s="4">
        <v>45356</v>
      </c>
      <c r="C46" s="8">
        <v>9.67</v>
      </c>
      <c r="D46" s="8">
        <v>9.75</v>
      </c>
      <c r="E46" s="8">
        <v>9.52</v>
      </c>
      <c r="F46" s="8">
        <v>9.58</v>
      </c>
      <c r="G46" s="3">
        <v>66185</v>
      </c>
      <c r="H46" s="3"/>
      <c r="I46" s="3"/>
    </row>
    <row r="47" spans="1:9" x14ac:dyDescent="0.2">
      <c r="A47" t="s">
        <v>9</v>
      </c>
      <c r="B47" s="4">
        <v>45357</v>
      </c>
      <c r="C47" s="8">
        <v>9.65</v>
      </c>
      <c r="D47" s="8">
        <v>9.9</v>
      </c>
      <c r="E47" s="8">
        <v>9.61</v>
      </c>
      <c r="F47" s="8">
        <v>9.9</v>
      </c>
      <c r="G47" s="3">
        <v>23147</v>
      </c>
      <c r="H47" s="3"/>
      <c r="I47" s="3"/>
    </row>
    <row r="48" spans="1:9" x14ac:dyDescent="0.2">
      <c r="A48" t="s">
        <v>9</v>
      </c>
      <c r="B48" s="4">
        <v>45358</v>
      </c>
      <c r="C48" s="8">
        <v>9.9499999999999993</v>
      </c>
      <c r="D48" s="8">
        <v>9.9499999999999993</v>
      </c>
      <c r="E48" s="8">
        <v>9.81</v>
      </c>
      <c r="F48" s="8">
        <v>9.81</v>
      </c>
      <c r="G48" s="3">
        <v>32083</v>
      </c>
      <c r="H48" s="3"/>
      <c r="I48" s="3"/>
    </row>
    <row r="49" spans="1:9" x14ac:dyDescent="0.2">
      <c r="A49" t="s">
        <v>9</v>
      </c>
      <c r="B49" s="4">
        <v>45359</v>
      </c>
      <c r="C49" s="8">
        <v>9.82</v>
      </c>
      <c r="D49" s="8">
        <v>9.9600000000000009</v>
      </c>
      <c r="E49" s="8">
        <v>9.7799999999999994</v>
      </c>
      <c r="F49" s="8">
        <v>9.92</v>
      </c>
      <c r="G49" s="3">
        <v>16604</v>
      </c>
      <c r="H49" s="3"/>
      <c r="I49" s="3"/>
    </row>
    <row r="50" spans="1:9" x14ac:dyDescent="0.2">
      <c r="A50" t="s">
        <v>9</v>
      </c>
      <c r="B50" s="4">
        <v>45362</v>
      </c>
      <c r="C50" s="8">
        <v>9.8800000000000008</v>
      </c>
      <c r="D50" s="8">
        <v>9.9600000000000009</v>
      </c>
      <c r="E50" s="8">
        <v>9.7899999999999991</v>
      </c>
      <c r="F50" s="8">
        <v>9.9600000000000009</v>
      </c>
      <c r="G50" s="3">
        <v>51921</v>
      </c>
      <c r="H50" s="3"/>
      <c r="I50" s="3"/>
    </row>
    <row r="51" spans="1:9" x14ac:dyDescent="0.2">
      <c r="A51" t="s">
        <v>9</v>
      </c>
      <c r="B51" s="4">
        <v>45363</v>
      </c>
      <c r="C51" s="8">
        <v>9.9600000000000009</v>
      </c>
      <c r="D51" s="8">
        <v>9.9600000000000009</v>
      </c>
      <c r="E51" s="8">
        <v>9.75</v>
      </c>
      <c r="F51" s="8">
        <v>9.75</v>
      </c>
      <c r="G51" s="3">
        <v>36408</v>
      </c>
      <c r="H51" s="3"/>
      <c r="I51" s="3"/>
    </row>
    <row r="52" spans="1:9" x14ac:dyDescent="0.2">
      <c r="A52" t="s">
        <v>9</v>
      </c>
      <c r="B52" s="4">
        <v>45364</v>
      </c>
      <c r="C52" s="8">
        <v>9.77</v>
      </c>
      <c r="D52" s="8">
        <v>9.9700000000000006</v>
      </c>
      <c r="E52" s="8">
        <v>9.77</v>
      </c>
      <c r="F52" s="8">
        <v>9.9700000000000006</v>
      </c>
      <c r="G52" s="3">
        <v>42911</v>
      </c>
      <c r="H52" s="3"/>
      <c r="I52" s="3"/>
    </row>
    <row r="53" spans="1:9" x14ac:dyDescent="0.2">
      <c r="A53" t="s">
        <v>9</v>
      </c>
      <c r="B53" s="4">
        <v>45365</v>
      </c>
      <c r="C53" s="8">
        <v>9.98</v>
      </c>
      <c r="D53" s="8">
        <v>10</v>
      </c>
      <c r="E53" s="8">
        <v>9.73</v>
      </c>
      <c r="F53" s="8">
        <v>9.9600000000000009</v>
      </c>
      <c r="G53" s="3">
        <v>58536</v>
      </c>
      <c r="H53" s="3"/>
      <c r="I53" s="3"/>
    </row>
    <row r="54" spans="1:9" x14ac:dyDescent="0.2">
      <c r="A54" t="s">
        <v>9</v>
      </c>
      <c r="B54" s="4">
        <v>45366</v>
      </c>
      <c r="C54" s="8">
        <v>9.9600000000000009</v>
      </c>
      <c r="D54" s="8">
        <v>9.9600000000000009</v>
      </c>
      <c r="E54" s="8">
        <v>9.69</v>
      </c>
      <c r="F54" s="8">
        <v>9.7100000000000009</v>
      </c>
      <c r="G54" s="3">
        <v>31890</v>
      </c>
      <c r="H54" s="3"/>
      <c r="I54" s="3"/>
    </row>
    <row r="55" spans="1:9" x14ac:dyDescent="0.2">
      <c r="A55" t="s">
        <v>9</v>
      </c>
      <c r="B55" s="4">
        <v>45369</v>
      </c>
      <c r="C55" s="8">
        <v>9.76</v>
      </c>
      <c r="D55" s="8">
        <v>9.84</v>
      </c>
      <c r="E55" s="8">
        <v>9.73</v>
      </c>
      <c r="F55" s="8">
        <v>9.81</v>
      </c>
      <c r="G55" s="3">
        <v>41038</v>
      </c>
      <c r="H55" s="3"/>
      <c r="I55" s="3"/>
    </row>
    <row r="56" spans="1:9" x14ac:dyDescent="0.2">
      <c r="A56" t="s">
        <v>9</v>
      </c>
      <c r="B56" s="4">
        <v>45370</v>
      </c>
      <c r="C56" s="8">
        <v>9.83</v>
      </c>
      <c r="D56" s="8">
        <v>9.83</v>
      </c>
      <c r="E56" s="8">
        <v>9.73</v>
      </c>
      <c r="F56" s="8">
        <v>9.75</v>
      </c>
      <c r="G56" s="3">
        <v>36966</v>
      </c>
      <c r="H56" s="3"/>
      <c r="I56" s="3"/>
    </row>
    <row r="57" spans="1:9" x14ac:dyDescent="0.2">
      <c r="A57" t="s">
        <v>9</v>
      </c>
      <c r="B57" s="4">
        <v>45371</v>
      </c>
      <c r="C57" s="8">
        <v>9.8000000000000007</v>
      </c>
      <c r="D57" s="8">
        <v>9.9350000000000005</v>
      </c>
      <c r="E57" s="8">
        <v>9.8000000000000007</v>
      </c>
      <c r="F57" s="8">
        <v>9.8800000000000008</v>
      </c>
      <c r="G57" s="3">
        <v>101025</v>
      </c>
      <c r="H57" s="3"/>
      <c r="I57" s="3"/>
    </row>
    <row r="58" spans="1:9" x14ac:dyDescent="0.2">
      <c r="A58" t="s">
        <v>9</v>
      </c>
      <c r="B58" s="4">
        <v>45372</v>
      </c>
      <c r="C58" s="8">
        <v>9.8000000000000007</v>
      </c>
      <c r="D58" s="8">
        <v>9.86</v>
      </c>
      <c r="E58" s="8">
        <v>9.76</v>
      </c>
      <c r="F58" s="8">
        <v>9.77</v>
      </c>
      <c r="G58" s="3">
        <v>35082</v>
      </c>
      <c r="H58" s="3"/>
      <c r="I58" s="3"/>
    </row>
    <row r="59" spans="1:9" x14ac:dyDescent="0.2">
      <c r="A59" t="s">
        <v>9</v>
      </c>
      <c r="B59" s="4">
        <v>45373</v>
      </c>
      <c r="C59" s="8">
        <v>9.77</v>
      </c>
      <c r="D59" s="8">
        <v>9.85</v>
      </c>
      <c r="E59" s="8">
        <v>9.76</v>
      </c>
      <c r="F59" s="8">
        <v>9.84</v>
      </c>
      <c r="G59" s="3">
        <v>9873</v>
      </c>
      <c r="H59" s="3"/>
      <c r="I59" s="3"/>
    </row>
    <row r="60" spans="1:9" x14ac:dyDescent="0.2">
      <c r="A60" t="s">
        <v>9</v>
      </c>
      <c r="B60" s="4">
        <v>45376</v>
      </c>
      <c r="C60" s="8">
        <v>9.8800000000000008</v>
      </c>
      <c r="D60" s="8">
        <v>9.9700000000000006</v>
      </c>
      <c r="E60" s="8">
        <v>9.74</v>
      </c>
      <c r="F60" s="8">
        <v>9.85</v>
      </c>
      <c r="G60" s="3">
        <v>64076</v>
      </c>
      <c r="H60" s="3"/>
      <c r="I60" s="3"/>
    </row>
    <row r="61" spans="1:9" x14ac:dyDescent="0.2">
      <c r="A61" t="s">
        <v>9</v>
      </c>
      <c r="B61" s="4">
        <v>45377</v>
      </c>
      <c r="C61" s="8">
        <v>9.8699999999999992</v>
      </c>
      <c r="D61" s="8">
        <v>10.050000000000001</v>
      </c>
      <c r="E61" s="8">
        <v>9.83</v>
      </c>
      <c r="F61" s="8">
        <v>10.01</v>
      </c>
      <c r="G61" s="3">
        <v>57110</v>
      </c>
      <c r="H61" s="3"/>
      <c r="I61" s="3"/>
    </row>
    <row r="62" spans="1:9" x14ac:dyDescent="0.2">
      <c r="A62" t="s">
        <v>9</v>
      </c>
      <c r="B62" s="4">
        <v>45378</v>
      </c>
      <c r="C62" s="8">
        <v>9.9600000000000009</v>
      </c>
      <c r="D62" s="8">
        <v>10.07</v>
      </c>
      <c r="E62" s="8">
        <v>9.8699999999999992</v>
      </c>
      <c r="F62" s="8">
        <v>9.8699999999999992</v>
      </c>
      <c r="G62" s="3">
        <v>48362</v>
      </c>
      <c r="H62" s="3"/>
      <c r="I62" s="3"/>
    </row>
    <row r="63" spans="1:9" x14ac:dyDescent="0.2">
      <c r="A63" t="s">
        <v>9</v>
      </c>
      <c r="B63" s="4">
        <v>45379</v>
      </c>
      <c r="C63" s="8">
        <v>9.91</v>
      </c>
      <c r="D63" s="8">
        <v>10.07</v>
      </c>
      <c r="E63" s="8">
        <v>9.8000000000000007</v>
      </c>
      <c r="F63" s="8">
        <v>9.92</v>
      </c>
      <c r="G63" s="3">
        <v>66872</v>
      </c>
      <c r="H63" s="3"/>
      <c r="I63" s="3"/>
    </row>
    <row r="64" spans="1:9" x14ac:dyDescent="0.2">
      <c r="A64" t="s">
        <v>9</v>
      </c>
      <c r="B64" s="4">
        <v>45384</v>
      </c>
      <c r="C64" s="8">
        <v>9.9499999999999993</v>
      </c>
      <c r="D64" s="8">
        <v>10.08</v>
      </c>
      <c r="E64" s="8">
        <v>9.92</v>
      </c>
      <c r="F64" s="8">
        <v>9.9700000000000006</v>
      </c>
      <c r="G64" s="3">
        <v>38022</v>
      </c>
      <c r="H64" s="3"/>
      <c r="I64" s="3"/>
    </row>
    <row r="65" spans="1:9" x14ac:dyDescent="0.2">
      <c r="A65" t="s">
        <v>9</v>
      </c>
      <c r="B65" s="4">
        <v>45385</v>
      </c>
      <c r="C65" s="8">
        <v>9.9700000000000006</v>
      </c>
      <c r="D65" s="8">
        <v>10.050000000000001</v>
      </c>
      <c r="E65" s="8">
        <v>9.93</v>
      </c>
      <c r="F65" s="8">
        <v>9.9700000000000006</v>
      </c>
      <c r="G65" s="3">
        <v>29984</v>
      </c>
      <c r="H65" s="3"/>
      <c r="I65" s="3"/>
    </row>
    <row r="66" spans="1:9" x14ac:dyDescent="0.2">
      <c r="A66" t="s">
        <v>9</v>
      </c>
      <c r="B66" s="4">
        <v>45386</v>
      </c>
      <c r="C66" s="8">
        <v>10.039999999999999</v>
      </c>
      <c r="D66" s="8">
        <v>10.07</v>
      </c>
      <c r="E66" s="8">
        <v>9.98</v>
      </c>
      <c r="F66" s="8">
        <v>10.039999999999999</v>
      </c>
      <c r="G66" s="3">
        <v>17132</v>
      </c>
      <c r="H66" s="3"/>
      <c r="I66" s="3"/>
    </row>
    <row r="67" spans="1:9" x14ac:dyDescent="0.2">
      <c r="A67" t="s">
        <v>9</v>
      </c>
      <c r="B67" s="4">
        <v>45387</v>
      </c>
      <c r="C67" s="8">
        <v>10</v>
      </c>
      <c r="D67" s="8">
        <v>10</v>
      </c>
      <c r="E67" s="8">
        <v>9.8800000000000008</v>
      </c>
      <c r="F67" s="8">
        <v>9.98</v>
      </c>
      <c r="G67" s="3">
        <v>43617</v>
      </c>
      <c r="H67" s="3"/>
      <c r="I67" s="3"/>
    </row>
    <row r="68" spans="1:9" x14ac:dyDescent="0.2">
      <c r="A68" t="s">
        <v>9</v>
      </c>
      <c r="B68" s="4">
        <v>45390</v>
      </c>
      <c r="C68" s="8">
        <v>10.08</v>
      </c>
      <c r="D68" s="8">
        <v>10.08</v>
      </c>
      <c r="E68" s="8">
        <v>9.89</v>
      </c>
      <c r="F68" s="8">
        <v>10.050000000000001</v>
      </c>
      <c r="G68" s="3">
        <v>31869</v>
      </c>
      <c r="H68" s="3"/>
      <c r="I68" s="3"/>
    </row>
    <row r="69" spans="1:9" x14ac:dyDescent="0.2">
      <c r="A69" t="s">
        <v>9</v>
      </c>
      <c r="B69" s="4">
        <v>45391</v>
      </c>
      <c r="C69" s="8">
        <v>10.039999999999999</v>
      </c>
      <c r="D69" s="8">
        <v>10.039999999999999</v>
      </c>
      <c r="E69" s="8">
        <v>9.9600000000000009</v>
      </c>
      <c r="F69" s="8">
        <v>9.9700000000000006</v>
      </c>
      <c r="G69" s="3">
        <v>18913</v>
      </c>
      <c r="H69" s="3"/>
      <c r="I69" s="3"/>
    </row>
    <row r="70" spans="1:9" x14ac:dyDescent="0.2">
      <c r="A70" t="s">
        <v>9</v>
      </c>
      <c r="B70" s="4">
        <v>45392</v>
      </c>
      <c r="C70" s="8">
        <v>9.9700000000000006</v>
      </c>
      <c r="D70" s="8">
        <v>10.050000000000001</v>
      </c>
      <c r="E70" s="8">
        <v>9.92</v>
      </c>
      <c r="F70" s="8">
        <v>10.050000000000001</v>
      </c>
      <c r="G70" s="3">
        <v>21246</v>
      </c>
      <c r="H70" s="3"/>
      <c r="I70" s="3"/>
    </row>
    <row r="71" spans="1:9" x14ac:dyDescent="0.2">
      <c r="A71" t="s">
        <v>9</v>
      </c>
      <c r="B71" s="4">
        <v>45393</v>
      </c>
      <c r="C71" s="8">
        <v>10.01</v>
      </c>
      <c r="D71" s="8">
        <v>10.199999999999999</v>
      </c>
      <c r="E71" s="8">
        <v>9.9499999999999993</v>
      </c>
      <c r="F71" s="8">
        <v>10.199999999999999</v>
      </c>
      <c r="G71" s="3">
        <v>29439</v>
      </c>
      <c r="H71" s="3"/>
      <c r="I71" s="3"/>
    </row>
    <row r="72" spans="1:9" x14ac:dyDescent="0.2">
      <c r="A72" t="s">
        <v>9</v>
      </c>
      <c r="B72" s="4">
        <v>45394</v>
      </c>
      <c r="C72" s="8">
        <v>10.17</v>
      </c>
      <c r="D72" s="8">
        <v>10.17</v>
      </c>
      <c r="E72" s="8">
        <v>9.98</v>
      </c>
      <c r="F72" s="8">
        <v>10.130000000000001</v>
      </c>
      <c r="G72" s="3">
        <v>13839</v>
      </c>
      <c r="H72" s="3"/>
      <c r="I72" s="3"/>
    </row>
    <row r="73" spans="1:9" x14ac:dyDescent="0.2">
      <c r="A73" t="s">
        <v>9</v>
      </c>
      <c r="B73" s="4">
        <v>45397</v>
      </c>
      <c r="C73" s="8">
        <v>10.01</v>
      </c>
      <c r="D73" s="8">
        <v>10.01</v>
      </c>
      <c r="E73" s="8">
        <v>9.93</v>
      </c>
      <c r="F73" s="8">
        <v>9.98</v>
      </c>
      <c r="G73" s="3">
        <v>20340</v>
      </c>
      <c r="H73" s="3"/>
      <c r="I73" s="3"/>
    </row>
    <row r="74" spans="1:9" x14ac:dyDescent="0.2">
      <c r="A74" t="s">
        <v>9</v>
      </c>
      <c r="B74" s="4">
        <v>45398</v>
      </c>
      <c r="C74" s="8">
        <v>10</v>
      </c>
      <c r="D74" s="8">
        <v>10</v>
      </c>
      <c r="E74" s="8">
        <v>9.8800000000000008</v>
      </c>
      <c r="F74" s="8">
        <v>10</v>
      </c>
      <c r="G74" s="3">
        <v>9558</v>
      </c>
      <c r="H74" s="3"/>
      <c r="I74" s="3"/>
    </row>
    <row r="75" spans="1:9" x14ac:dyDescent="0.2">
      <c r="A75" t="s">
        <v>9</v>
      </c>
      <c r="B75" s="4">
        <v>45399</v>
      </c>
      <c r="C75" s="8">
        <v>10</v>
      </c>
      <c r="D75" s="8">
        <v>10.17</v>
      </c>
      <c r="E75" s="8">
        <v>9.9700000000000006</v>
      </c>
      <c r="F75" s="8">
        <v>10.16</v>
      </c>
      <c r="G75" s="3">
        <v>56277</v>
      </c>
      <c r="H75" s="3"/>
      <c r="I75" s="3"/>
    </row>
    <row r="76" spans="1:9" x14ac:dyDescent="0.2">
      <c r="A76" t="s">
        <v>9</v>
      </c>
      <c r="B76" s="4">
        <v>45400</v>
      </c>
      <c r="C76" s="8">
        <v>10.16</v>
      </c>
      <c r="D76" s="8">
        <v>10.16</v>
      </c>
      <c r="E76" s="8">
        <v>9.91</v>
      </c>
      <c r="F76" s="8">
        <v>9.92</v>
      </c>
      <c r="G76" s="3">
        <v>78266</v>
      </c>
      <c r="H76" s="3"/>
      <c r="I76" s="3"/>
    </row>
    <row r="77" spans="1:9" x14ac:dyDescent="0.2">
      <c r="A77" t="s">
        <v>9</v>
      </c>
      <c r="B77" s="4">
        <v>45401</v>
      </c>
      <c r="C77" s="8">
        <v>9.9499999999999993</v>
      </c>
      <c r="D77" s="8">
        <v>10.039999999999999</v>
      </c>
      <c r="E77" s="8">
        <v>9.9499999999999993</v>
      </c>
      <c r="F77" s="8">
        <v>9.99</v>
      </c>
      <c r="G77" s="3">
        <v>19678</v>
      </c>
      <c r="H77" s="3"/>
      <c r="I77" s="3"/>
    </row>
    <row r="78" spans="1:9" x14ac:dyDescent="0.2">
      <c r="A78" t="s">
        <v>9</v>
      </c>
      <c r="B78" s="4">
        <v>45404</v>
      </c>
      <c r="C78" s="8">
        <v>10.09</v>
      </c>
      <c r="D78" s="8">
        <v>10.09</v>
      </c>
      <c r="E78" s="8">
        <v>9.91</v>
      </c>
      <c r="F78" s="8">
        <v>9.9499999999999993</v>
      </c>
      <c r="G78" s="3">
        <v>24350</v>
      </c>
      <c r="H78" s="3"/>
      <c r="I78" s="3"/>
    </row>
    <row r="79" spans="1:9" x14ac:dyDescent="0.2">
      <c r="A79" t="s">
        <v>9</v>
      </c>
      <c r="B79" s="4">
        <v>45405</v>
      </c>
      <c r="C79" s="8">
        <v>10.01</v>
      </c>
      <c r="D79" s="8">
        <v>10.02</v>
      </c>
      <c r="E79" s="8">
        <v>9.89</v>
      </c>
      <c r="F79" s="8">
        <v>9.93</v>
      </c>
      <c r="G79" s="3">
        <v>17604</v>
      </c>
      <c r="H79" s="3"/>
      <c r="I79" s="3"/>
    </row>
    <row r="80" spans="1:9" x14ac:dyDescent="0.2">
      <c r="A80" t="s">
        <v>9</v>
      </c>
      <c r="B80" s="4">
        <v>45406</v>
      </c>
      <c r="C80" s="8">
        <v>10.050000000000001</v>
      </c>
      <c r="D80" s="8">
        <v>10.050000000000001</v>
      </c>
      <c r="E80" s="8">
        <v>9.89</v>
      </c>
      <c r="F80" s="8">
        <v>10.029999999999999</v>
      </c>
      <c r="G80" s="3">
        <v>30023</v>
      </c>
      <c r="H80" s="3"/>
      <c r="I80" s="3"/>
    </row>
    <row r="81" spans="1:9" x14ac:dyDescent="0.2">
      <c r="A81" t="s">
        <v>9</v>
      </c>
      <c r="B81" s="4">
        <v>45408</v>
      </c>
      <c r="C81" s="8">
        <v>10.050000000000001</v>
      </c>
      <c r="D81" s="8">
        <v>10.050000000000001</v>
      </c>
      <c r="E81" s="8">
        <v>9.82</v>
      </c>
      <c r="F81" s="8">
        <v>9.92</v>
      </c>
      <c r="G81" s="3">
        <v>66225</v>
      </c>
      <c r="H81" s="3"/>
      <c r="I81" s="3"/>
    </row>
    <row r="82" spans="1:9" x14ac:dyDescent="0.2">
      <c r="A82" t="s">
        <v>9</v>
      </c>
      <c r="B82" s="4">
        <v>45411</v>
      </c>
      <c r="C82" s="8">
        <v>10.039999999999999</v>
      </c>
      <c r="D82" s="8">
        <v>10.19</v>
      </c>
      <c r="E82" s="8">
        <v>9.93</v>
      </c>
      <c r="F82" s="8">
        <v>9.9499999999999993</v>
      </c>
      <c r="G82" s="3">
        <v>44893</v>
      </c>
      <c r="H82" s="3"/>
      <c r="I82" s="3"/>
    </row>
    <row r="83" spans="1:9" x14ac:dyDescent="0.2">
      <c r="A83" t="s">
        <v>9</v>
      </c>
      <c r="B83" s="4">
        <v>45412</v>
      </c>
      <c r="C83" s="8">
        <v>10.02</v>
      </c>
      <c r="D83" s="8">
        <v>10.09</v>
      </c>
      <c r="E83" s="8">
        <v>9.9600000000000009</v>
      </c>
      <c r="F83" s="8">
        <v>10</v>
      </c>
      <c r="G83" s="3">
        <v>97344</v>
      </c>
      <c r="H83" s="3"/>
      <c r="I83" s="3"/>
    </row>
    <row r="84" spans="1:9" x14ac:dyDescent="0.2">
      <c r="A84" t="s">
        <v>9</v>
      </c>
      <c r="B84" s="4">
        <v>45413</v>
      </c>
      <c r="C84" s="8">
        <v>10</v>
      </c>
      <c r="D84" s="8">
        <v>10.039999999999999</v>
      </c>
      <c r="E84" s="8">
        <v>9.9700000000000006</v>
      </c>
      <c r="F84" s="8">
        <v>9.9700000000000006</v>
      </c>
      <c r="G84" s="3">
        <v>31794</v>
      </c>
      <c r="H84" s="3"/>
      <c r="I84" s="3"/>
    </row>
    <row r="85" spans="1:9" x14ac:dyDescent="0.2">
      <c r="A85" t="s">
        <v>9</v>
      </c>
      <c r="B85" s="4">
        <v>45414</v>
      </c>
      <c r="C85" s="8">
        <v>10</v>
      </c>
      <c r="D85" s="8">
        <v>10.029999999999999</v>
      </c>
      <c r="E85" s="8">
        <v>9.92</v>
      </c>
      <c r="F85" s="8">
        <v>10.02</v>
      </c>
      <c r="G85" s="3">
        <v>61380</v>
      </c>
      <c r="H85" s="3"/>
      <c r="I85" s="3"/>
    </row>
    <row r="86" spans="1:9" x14ac:dyDescent="0.2">
      <c r="A86" t="s">
        <v>9</v>
      </c>
      <c r="B86" s="4">
        <v>45415</v>
      </c>
      <c r="C86" s="8">
        <v>10.02</v>
      </c>
      <c r="D86" s="8">
        <v>10.02</v>
      </c>
      <c r="E86" s="8">
        <v>9.86</v>
      </c>
      <c r="F86" s="8">
        <v>9.9499999999999993</v>
      </c>
      <c r="G86" s="3">
        <v>26668</v>
      </c>
      <c r="H86" s="3"/>
      <c r="I86" s="3"/>
    </row>
    <row r="87" spans="1:9" x14ac:dyDescent="0.2">
      <c r="A87" t="s">
        <v>9</v>
      </c>
      <c r="B87" s="4">
        <v>45418</v>
      </c>
      <c r="C87" s="8">
        <v>9.9600000000000009</v>
      </c>
      <c r="D87" s="8">
        <v>9.98</v>
      </c>
      <c r="E87" s="8">
        <v>9.67</v>
      </c>
      <c r="F87" s="8">
        <v>9.68</v>
      </c>
      <c r="G87" s="3">
        <v>66155</v>
      </c>
      <c r="H87" s="3"/>
      <c r="I87" s="3"/>
    </row>
    <row r="88" spans="1:9" x14ac:dyDescent="0.2">
      <c r="A88" t="s">
        <v>9</v>
      </c>
      <c r="B88" s="4">
        <v>45419</v>
      </c>
      <c r="C88" s="8">
        <v>9.7200000000000006</v>
      </c>
      <c r="D88" s="8">
        <v>9.8000000000000007</v>
      </c>
      <c r="E88" s="8">
        <v>9.65</v>
      </c>
      <c r="F88" s="8">
        <v>9.73</v>
      </c>
      <c r="G88" s="3">
        <v>62353</v>
      </c>
      <c r="H88" s="3"/>
      <c r="I88" s="3"/>
    </row>
    <row r="89" spans="1:9" x14ac:dyDescent="0.2">
      <c r="A89" t="s">
        <v>9</v>
      </c>
      <c r="B89" s="4">
        <v>45420</v>
      </c>
      <c r="C89" s="8">
        <v>9.75</v>
      </c>
      <c r="D89" s="8">
        <v>9.89</v>
      </c>
      <c r="E89" s="8">
        <v>9.75</v>
      </c>
      <c r="F89" s="8">
        <v>9.89</v>
      </c>
      <c r="G89" s="3">
        <v>48677</v>
      </c>
      <c r="H89" s="3"/>
      <c r="I89" s="3"/>
    </row>
    <row r="90" spans="1:9" x14ac:dyDescent="0.2">
      <c r="A90" t="s">
        <v>9</v>
      </c>
      <c r="B90" s="4">
        <v>45421</v>
      </c>
      <c r="C90" s="8">
        <v>9.89</v>
      </c>
      <c r="D90" s="8">
        <v>9.89</v>
      </c>
      <c r="E90" s="8">
        <v>9.7100000000000009</v>
      </c>
      <c r="F90" s="8">
        <v>9.7799999999999994</v>
      </c>
      <c r="G90" s="3">
        <v>48095</v>
      </c>
      <c r="H90" s="3"/>
      <c r="I90" s="3"/>
    </row>
    <row r="91" spans="1:9" x14ac:dyDescent="0.2">
      <c r="A91" t="s">
        <v>9</v>
      </c>
      <c r="B91" s="4">
        <v>45422</v>
      </c>
      <c r="C91" s="8">
        <v>9.8800000000000008</v>
      </c>
      <c r="D91" s="8">
        <v>9.8800000000000008</v>
      </c>
      <c r="E91" s="8">
        <v>9.7100000000000009</v>
      </c>
      <c r="F91" s="8">
        <v>9.7100000000000009</v>
      </c>
      <c r="G91" s="3">
        <v>31781</v>
      </c>
      <c r="H91" s="3"/>
      <c r="I91" s="3"/>
    </row>
    <row r="92" spans="1:9" x14ac:dyDescent="0.2">
      <c r="A92" t="s">
        <v>9</v>
      </c>
      <c r="B92" s="4">
        <v>45425</v>
      </c>
      <c r="C92" s="8">
        <v>9.75</v>
      </c>
      <c r="D92" s="8">
        <v>9.75</v>
      </c>
      <c r="E92" s="8">
        <v>9.58</v>
      </c>
      <c r="F92" s="8">
        <v>9.6300000000000008</v>
      </c>
      <c r="G92" s="3">
        <v>62401</v>
      </c>
      <c r="H92" s="3"/>
      <c r="I92" s="3"/>
    </row>
    <row r="93" spans="1:9" x14ac:dyDescent="0.2">
      <c r="A93" t="s">
        <v>9</v>
      </c>
      <c r="B93" s="4">
        <v>45426</v>
      </c>
      <c r="C93" s="8">
        <v>9.6</v>
      </c>
      <c r="D93" s="8">
        <v>9.61</v>
      </c>
      <c r="E93" s="8">
        <v>9.4</v>
      </c>
      <c r="F93" s="8">
        <v>9.48</v>
      </c>
      <c r="G93" s="3">
        <v>81189</v>
      </c>
      <c r="H93" s="3"/>
      <c r="I93" s="3"/>
    </row>
    <row r="94" spans="1:9" x14ac:dyDescent="0.2">
      <c r="A94" t="s">
        <v>9</v>
      </c>
      <c r="B94" s="4">
        <v>45427</v>
      </c>
      <c r="C94" s="8">
        <v>9.4499999999999993</v>
      </c>
      <c r="D94" s="8">
        <v>9.6</v>
      </c>
      <c r="E94" s="8">
        <v>9.43</v>
      </c>
      <c r="F94" s="8">
        <v>9.5500000000000007</v>
      </c>
      <c r="G94" s="3">
        <v>62479</v>
      </c>
      <c r="H94" s="3"/>
      <c r="I94" s="3"/>
    </row>
    <row r="95" spans="1:9" x14ac:dyDescent="0.2">
      <c r="A95" t="s">
        <v>9</v>
      </c>
      <c r="B95" s="4">
        <v>45428</v>
      </c>
      <c r="C95" s="8">
        <v>9.65</v>
      </c>
      <c r="D95" s="8">
        <v>9.9</v>
      </c>
      <c r="E95" s="8">
        <v>9.65</v>
      </c>
      <c r="F95" s="8">
        <v>9.84</v>
      </c>
      <c r="G95" s="3">
        <v>85278</v>
      </c>
      <c r="H95" s="3"/>
      <c r="I95" s="3"/>
    </row>
    <row r="96" spans="1:9" x14ac:dyDescent="0.2">
      <c r="A96" t="s">
        <v>9</v>
      </c>
      <c r="B96" s="4">
        <v>45429</v>
      </c>
      <c r="C96" s="8">
        <v>9.86</v>
      </c>
      <c r="D96" s="8">
        <v>9.98</v>
      </c>
      <c r="E96" s="8">
        <v>9.86</v>
      </c>
      <c r="F96" s="8">
        <v>9.94</v>
      </c>
      <c r="G96" s="3">
        <v>43407</v>
      </c>
      <c r="H96" s="3"/>
      <c r="I96" s="3"/>
    </row>
    <row r="97" spans="1:9" x14ac:dyDescent="0.2">
      <c r="A97" t="s">
        <v>9</v>
      </c>
      <c r="B97" s="4">
        <v>45432</v>
      </c>
      <c r="C97" s="8">
        <v>9.9499999999999993</v>
      </c>
      <c r="D97" s="8">
        <v>10.42</v>
      </c>
      <c r="E97" s="8">
        <v>9.9499999999999993</v>
      </c>
      <c r="F97" s="8">
        <v>10.35</v>
      </c>
      <c r="G97" s="3">
        <v>85317</v>
      </c>
      <c r="H97" s="3"/>
      <c r="I97" s="3"/>
    </row>
    <row r="98" spans="1:9" x14ac:dyDescent="0.2">
      <c r="A98" t="s">
        <v>9</v>
      </c>
      <c r="B98" s="4">
        <v>45433</v>
      </c>
      <c r="C98" s="8">
        <v>9.9</v>
      </c>
      <c r="D98" s="8">
        <v>9.94</v>
      </c>
      <c r="E98" s="8">
        <v>9.74</v>
      </c>
      <c r="F98" s="8">
        <v>9.75</v>
      </c>
      <c r="G98" s="3">
        <v>150949</v>
      </c>
      <c r="H98" s="3"/>
      <c r="I98" s="3"/>
    </row>
    <row r="99" spans="1:9" x14ac:dyDescent="0.2">
      <c r="A99" t="s">
        <v>9</v>
      </c>
      <c r="B99" s="4">
        <v>45434</v>
      </c>
      <c r="C99" s="8">
        <v>9.8800000000000008</v>
      </c>
      <c r="D99" s="8">
        <v>9.98</v>
      </c>
      <c r="E99" s="8">
        <v>9.84</v>
      </c>
      <c r="F99" s="8">
        <v>9.8800000000000008</v>
      </c>
      <c r="G99" s="3">
        <v>74006</v>
      </c>
      <c r="H99" s="3"/>
      <c r="I99" s="3"/>
    </row>
    <row r="100" spans="1:9" x14ac:dyDescent="0.2">
      <c r="A100" t="s">
        <v>9</v>
      </c>
      <c r="B100" s="4">
        <v>45435</v>
      </c>
      <c r="C100" s="8">
        <v>10.02</v>
      </c>
      <c r="D100" s="8">
        <v>10.19</v>
      </c>
      <c r="E100" s="8">
        <v>9.9700000000000006</v>
      </c>
      <c r="F100" s="8">
        <v>10.1</v>
      </c>
      <c r="G100" s="3">
        <v>105323</v>
      </c>
      <c r="H100" s="3"/>
      <c r="I100" s="3"/>
    </row>
    <row r="101" spans="1:9" x14ac:dyDescent="0.2">
      <c r="A101" t="s">
        <v>9</v>
      </c>
      <c r="B101" s="4">
        <v>45436</v>
      </c>
      <c r="C101" s="8">
        <v>10.06</v>
      </c>
      <c r="D101" s="8">
        <v>10.210000000000001</v>
      </c>
      <c r="E101" s="8">
        <v>10.050000000000001</v>
      </c>
      <c r="F101" s="8">
        <v>10.050000000000001</v>
      </c>
      <c r="G101" s="3">
        <v>64366</v>
      </c>
      <c r="H101" s="3"/>
      <c r="I101" s="3"/>
    </row>
    <row r="102" spans="1:9" x14ac:dyDescent="0.2">
      <c r="A102" t="s">
        <v>9</v>
      </c>
      <c r="B102" s="4">
        <v>45439</v>
      </c>
      <c r="C102" s="8">
        <v>10.119999999999999</v>
      </c>
      <c r="D102" s="8">
        <v>10.130000000000001</v>
      </c>
      <c r="E102" s="8">
        <v>10.02</v>
      </c>
      <c r="F102" s="8">
        <v>10.06</v>
      </c>
      <c r="G102" s="3">
        <v>37431</v>
      </c>
      <c r="H102" s="3"/>
      <c r="I102" s="3"/>
    </row>
    <row r="103" spans="1:9" x14ac:dyDescent="0.2">
      <c r="A103" t="s">
        <v>9</v>
      </c>
      <c r="B103" s="4">
        <v>45440</v>
      </c>
      <c r="C103" s="8">
        <v>10.050000000000001</v>
      </c>
      <c r="D103" s="8">
        <v>10.119999999999999</v>
      </c>
      <c r="E103" s="8">
        <v>10</v>
      </c>
      <c r="F103" s="8">
        <v>10.08</v>
      </c>
      <c r="G103" s="3">
        <v>101426</v>
      </c>
      <c r="H103" s="3"/>
      <c r="I103" s="3"/>
    </row>
    <row r="104" spans="1:9" x14ac:dyDescent="0.2">
      <c r="A104" t="s">
        <v>9</v>
      </c>
      <c r="B104" s="4">
        <v>45441</v>
      </c>
      <c r="C104" s="8">
        <v>10.1</v>
      </c>
      <c r="D104" s="8">
        <v>10.1</v>
      </c>
      <c r="E104" s="8">
        <v>9.85</v>
      </c>
      <c r="F104" s="8">
        <v>9.9499999999999993</v>
      </c>
      <c r="G104" s="3">
        <v>90321</v>
      </c>
      <c r="H104" s="3"/>
      <c r="I104" s="3"/>
    </row>
    <row r="105" spans="1:9" x14ac:dyDescent="0.2">
      <c r="A105" t="s">
        <v>9</v>
      </c>
      <c r="B105" s="4">
        <v>45442</v>
      </c>
      <c r="C105" s="8">
        <v>10</v>
      </c>
      <c r="D105" s="8">
        <v>10</v>
      </c>
      <c r="E105" s="8">
        <v>9.75</v>
      </c>
      <c r="F105" s="8">
        <v>9.7799999999999994</v>
      </c>
      <c r="G105" s="3">
        <v>99305</v>
      </c>
      <c r="H105" s="3"/>
      <c r="I105" s="3"/>
    </row>
    <row r="106" spans="1:9" x14ac:dyDescent="0.2">
      <c r="A106" t="s">
        <v>9</v>
      </c>
      <c r="B106" s="4">
        <v>45443</v>
      </c>
      <c r="C106" s="8">
        <v>9.8800000000000008</v>
      </c>
      <c r="D106" s="8">
        <v>9.89</v>
      </c>
      <c r="E106" s="8">
        <v>9.75</v>
      </c>
      <c r="F106" s="8">
        <v>9.85</v>
      </c>
      <c r="G106" s="3">
        <v>136938</v>
      </c>
      <c r="H106" s="3"/>
      <c r="I106" s="3"/>
    </row>
    <row r="107" spans="1:9" x14ac:dyDescent="0.2">
      <c r="A107" t="s">
        <v>9</v>
      </c>
      <c r="B107" s="4">
        <v>45446</v>
      </c>
      <c r="C107" s="8">
        <v>9.93</v>
      </c>
      <c r="D107" s="8">
        <v>10</v>
      </c>
      <c r="E107" s="8">
        <v>9.91</v>
      </c>
      <c r="F107" s="8">
        <v>9.9600000000000009</v>
      </c>
      <c r="G107" s="3">
        <v>59800</v>
      </c>
      <c r="H107" s="3"/>
      <c r="I107" s="3"/>
    </row>
    <row r="108" spans="1:9" x14ac:dyDescent="0.2">
      <c r="A108" t="s">
        <v>9</v>
      </c>
      <c r="B108" s="4">
        <v>45447</v>
      </c>
      <c r="C108" s="8">
        <v>10.039999999999999</v>
      </c>
      <c r="D108" s="8">
        <v>10.17</v>
      </c>
      <c r="E108" s="8">
        <v>9.9700000000000006</v>
      </c>
      <c r="F108" s="8">
        <v>10.1</v>
      </c>
      <c r="G108" s="3">
        <v>62933</v>
      </c>
      <c r="H108" s="3"/>
      <c r="I108" s="3"/>
    </row>
    <row r="109" spans="1:9" x14ac:dyDescent="0.2">
      <c r="A109" t="s">
        <v>9</v>
      </c>
      <c r="B109" s="4">
        <v>45448</v>
      </c>
      <c r="C109" s="8">
        <v>10.08</v>
      </c>
      <c r="D109" s="8">
        <v>10.4</v>
      </c>
      <c r="E109" s="8">
        <v>10.050000000000001</v>
      </c>
      <c r="F109" s="8">
        <v>10.31</v>
      </c>
      <c r="G109" s="3">
        <v>97965</v>
      </c>
      <c r="H109" s="3"/>
      <c r="I109" s="3"/>
    </row>
    <row r="110" spans="1:9" x14ac:dyDescent="0.2">
      <c r="A110" t="s">
        <v>9</v>
      </c>
      <c r="B110" s="4">
        <v>45449</v>
      </c>
      <c r="C110" s="8">
        <v>10.3</v>
      </c>
      <c r="D110" s="8">
        <v>10.87</v>
      </c>
      <c r="E110" s="8">
        <v>10.3</v>
      </c>
      <c r="F110" s="8">
        <v>10.61</v>
      </c>
      <c r="G110" s="3">
        <v>143479</v>
      </c>
      <c r="H110" s="3"/>
      <c r="I110" s="3"/>
    </row>
    <row r="111" spans="1:9" x14ac:dyDescent="0.2">
      <c r="A111" t="s">
        <v>9</v>
      </c>
      <c r="B111" s="4">
        <v>45450</v>
      </c>
      <c r="C111" s="8">
        <v>10.72</v>
      </c>
      <c r="D111" s="8">
        <v>10.72</v>
      </c>
      <c r="E111" s="8">
        <v>10.31</v>
      </c>
      <c r="F111" s="8">
        <v>10.35</v>
      </c>
      <c r="G111" s="3">
        <v>166614</v>
      </c>
      <c r="H111" s="3"/>
      <c r="I111" s="3"/>
    </row>
    <row r="112" spans="1:9" x14ac:dyDescent="0.2">
      <c r="A112" t="s">
        <v>9</v>
      </c>
      <c r="B112" s="4">
        <v>45454</v>
      </c>
      <c r="C112" s="8">
        <v>10.199999999999999</v>
      </c>
      <c r="D112" s="8">
        <v>10.199999999999999</v>
      </c>
      <c r="E112" s="8">
        <v>9.9700000000000006</v>
      </c>
      <c r="F112" s="8">
        <v>10</v>
      </c>
      <c r="G112" s="3">
        <v>116857</v>
      </c>
      <c r="H112" s="3"/>
      <c r="I112" s="3"/>
    </row>
    <row r="113" spans="1:9" x14ac:dyDescent="0.2">
      <c r="A113" t="s">
        <v>9</v>
      </c>
      <c r="B113" s="4">
        <v>45455</v>
      </c>
      <c r="C113" s="8">
        <v>10.01</v>
      </c>
      <c r="D113" s="8">
        <v>10.050000000000001</v>
      </c>
      <c r="E113" s="8">
        <v>9.92</v>
      </c>
      <c r="F113" s="8">
        <v>9.92</v>
      </c>
      <c r="G113" s="3">
        <v>132524</v>
      </c>
      <c r="H113" s="3"/>
      <c r="I113" s="3"/>
    </row>
    <row r="114" spans="1:9" x14ac:dyDescent="0.2">
      <c r="A114" t="s">
        <v>9</v>
      </c>
      <c r="B114" s="4">
        <v>45456</v>
      </c>
      <c r="C114" s="8">
        <v>9.93</v>
      </c>
      <c r="D114" s="8">
        <v>9.9600000000000009</v>
      </c>
      <c r="E114" s="8">
        <v>9.86</v>
      </c>
      <c r="F114" s="8">
        <v>9.8800000000000008</v>
      </c>
      <c r="G114" s="3">
        <v>120492</v>
      </c>
      <c r="H114" s="3"/>
      <c r="I114" s="3"/>
    </row>
    <row r="115" spans="1:9" x14ac:dyDescent="0.2">
      <c r="A115" t="s">
        <v>9</v>
      </c>
      <c r="B115" s="4">
        <v>45457</v>
      </c>
      <c r="C115" s="8">
        <v>9.92</v>
      </c>
      <c r="D115" s="8">
        <v>10.14</v>
      </c>
      <c r="E115" s="8">
        <v>9.9</v>
      </c>
      <c r="F115" s="8">
        <v>10.06</v>
      </c>
      <c r="G115" s="3">
        <v>135398</v>
      </c>
      <c r="H115" s="3"/>
      <c r="I115" s="3"/>
    </row>
    <row r="116" spans="1:9" x14ac:dyDescent="0.2">
      <c r="A116" t="s">
        <v>9</v>
      </c>
      <c r="B116" s="4">
        <v>45460</v>
      </c>
      <c r="C116" s="8">
        <v>0</v>
      </c>
      <c r="D116" s="8">
        <v>0</v>
      </c>
      <c r="E116" s="8">
        <v>0</v>
      </c>
      <c r="F116" s="8">
        <v>10.06</v>
      </c>
      <c r="G116" s="3">
        <v>0</v>
      </c>
      <c r="H116" s="3"/>
      <c r="I116" s="3"/>
    </row>
    <row r="117" spans="1:9" x14ac:dyDescent="0.2">
      <c r="A117" t="s">
        <v>9</v>
      </c>
      <c r="B117" s="4">
        <v>45461</v>
      </c>
      <c r="C117" s="8">
        <v>9.99</v>
      </c>
      <c r="D117" s="8">
        <v>10.59</v>
      </c>
      <c r="E117" s="8">
        <v>9.98</v>
      </c>
      <c r="F117" s="8">
        <v>10.55</v>
      </c>
      <c r="G117" s="3">
        <v>360473</v>
      </c>
      <c r="H117" s="3"/>
      <c r="I117" s="3"/>
    </row>
    <row r="118" spans="1:9" x14ac:dyDescent="0.2">
      <c r="A118" t="s">
        <v>9</v>
      </c>
      <c r="B118" s="4">
        <v>45462</v>
      </c>
      <c r="C118" s="8">
        <v>10.47</v>
      </c>
      <c r="D118" s="8">
        <v>10.47</v>
      </c>
      <c r="E118" s="8">
        <v>10.215</v>
      </c>
      <c r="F118" s="8">
        <v>10.25</v>
      </c>
      <c r="G118" s="3">
        <v>395445</v>
      </c>
      <c r="H118" s="3"/>
      <c r="I118" s="3"/>
    </row>
    <row r="119" spans="1:9" x14ac:dyDescent="0.2">
      <c r="A119" t="s">
        <v>9</v>
      </c>
      <c r="B119" s="4">
        <v>45463</v>
      </c>
      <c r="C119" s="8">
        <v>10.199999999999999</v>
      </c>
      <c r="D119" s="8">
        <v>10.33</v>
      </c>
      <c r="E119" s="8">
        <v>10.07</v>
      </c>
      <c r="F119" s="8">
        <v>10.26</v>
      </c>
      <c r="G119" s="3">
        <v>234016</v>
      </c>
      <c r="H119" s="3"/>
      <c r="I119" s="3"/>
    </row>
    <row r="120" spans="1:9" x14ac:dyDescent="0.2">
      <c r="A120" t="s">
        <v>9</v>
      </c>
      <c r="B120" s="4">
        <v>45464</v>
      </c>
      <c r="C120" s="8">
        <v>10.26</v>
      </c>
      <c r="D120" s="8">
        <v>10.3</v>
      </c>
      <c r="E120" s="8">
        <v>9.9700000000000006</v>
      </c>
      <c r="F120" s="8">
        <v>10.029999999999999</v>
      </c>
      <c r="G120" s="3">
        <v>337657</v>
      </c>
      <c r="H120" s="3"/>
      <c r="I120" s="3"/>
    </row>
    <row r="121" spans="1:9" x14ac:dyDescent="0.2">
      <c r="A121" t="s">
        <v>9</v>
      </c>
      <c r="B121" s="4">
        <v>45467</v>
      </c>
      <c r="C121" s="8">
        <v>10.1</v>
      </c>
      <c r="D121" s="8">
        <v>10.14</v>
      </c>
      <c r="E121" s="8">
        <v>9.93</v>
      </c>
      <c r="F121" s="8">
        <v>10.07</v>
      </c>
      <c r="G121" s="3">
        <v>632860</v>
      </c>
      <c r="H121" s="3"/>
      <c r="I121" s="3"/>
    </row>
    <row r="122" spans="1:9" x14ac:dyDescent="0.2">
      <c r="A122" t="s">
        <v>9</v>
      </c>
      <c r="B122" s="4">
        <v>45468</v>
      </c>
      <c r="C122" s="8">
        <v>10.11</v>
      </c>
      <c r="D122" s="8">
        <v>10.18</v>
      </c>
      <c r="E122" s="8">
        <v>10.029999999999999</v>
      </c>
      <c r="F122" s="8">
        <v>10.11</v>
      </c>
      <c r="G122" s="3">
        <v>177978</v>
      </c>
      <c r="H122" s="3"/>
      <c r="I122" s="3"/>
    </row>
    <row r="123" spans="1:9" x14ac:dyDescent="0.2">
      <c r="A123" t="s">
        <v>9</v>
      </c>
      <c r="B123" s="4">
        <v>45469</v>
      </c>
      <c r="C123" s="8">
        <v>10.130000000000001</v>
      </c>
      <c r="D123" s="8">
        <v>10.25</v>
      </c>
      <c r="E123" s="8">
        <v>10.07</v>
      </c>
      <c r="F123" s="8">
        <v>10.220000000000001</v>
      </c>
      <c r="G123" s="3">
        <v>1088055</v>
      </c>
      <c r="H123" s="3"/>
      <c r="I123" s="3"/>
    </row>
    <row r="124" spans="1:9" x14ac:dyDescent="0.2">
      <c r="A124" t="s">
        <v>9</v>
      </c>
      <c r="B124" s="4">
        <v>45470</v>
      </c>
      <c r="C124" s="8">
        <v>10.17</v>
      </c>
      <c r="D124" s="8">
        <v>10.23</v>
      </c>
      <c r="E124" s="8">
        <v>10.029999999999999</v>
      </c>
      <c r="F124" s="8">
        <v>10.18</v>
      </c>
      <c r="G124" s="3">
        <v>177680</v>
      </c>
      <c r="H124" s="3"/>
      <c r="I124" s="3"/>
    </row>
    <row r="125" spans="1:9" x14ac:dyDescent="0.2">
      <c r="A125" t="s">
        <v>9</v>
      </c>
      <c r="B125" s="4">
        <v>45471</v>
      </c>
      <c r="C125" s="8">
        <v>10.199999999999999</v>
      </c>
      <c r="D125" s="8">
        <v>10.34</v>
      </c>
      <c r="E125" s="8">
        <v>10.130000000000001</v>
      </c>
      <c r="F125" s="8">
        <v>10.34</v>
      </c>
      <c r="G125" s="3">
        <v>1159470</v>
      </c>
      <c r="H125" s="3"/>
      <c r="I125" s="3"/>
    </row>
    <row r="126" spans="1:9" x14ac:dyDescent="0.2">
      <c r="A126" t="s">
        <v>9</v>
      </c>
      <c r="B126" s="4">
        <v>45474</v>
      </c>
      <c r="C126" s="8">
        <v>10.5</v>
      </c>
      <c r="D126" s="8">
        <v>10.5</v>
      </c>
      <c r="E126" s="8">
        <v>10.09</v>
      </c>
      <c r="F126" s="8">
        <v>10.18</v>
      </c>
      <c r="G126" s="3">
        <v>386220</v>
      </c>
      <c r="H126" s="3"/>
      <c r="I126" s="3"/>
    </row>
    <row r="127" spans="1:9" x14ac:dyDescent="0.2">
      <c r="A127" t="s">
        <v>9</v>
      </c>
      <c r="B127" s="4">
        <v>45475</v>
      </c>
      <c r="C127" s="8">
        <v>10.18</v>
      </c>
      <c r="D127" s="8">
        <v>10.210000000000001</v>
      </c>
      <c r="E127" s="8">
        <v>10.065</v>
      </c>
      <c r="F127" s="8">
        <v>10.19</v>
      </c>
      <c r="G127" s="3">
        <v>277796</v>
      </c>
      <c r="H127" s="3"/>
      <c r="I127" s="3"/>
    </row>
    <row r="128" spans="1:9" x14ac:dyDescent="0.2">
      <c r="A128" t="s">
        <v>9</v>
      </c>
      <c r="B128" s="4">
        <v>45476</v>
      </c>
      <c r="C128" s="8">
        <v>10.25</v>
      </c>
      <c r="D128" s="8">
        <v>10.25</v>
      </c>
      <c r="E128" s="8">
        <v>10.119999999999999</v>
      </c>
      <c r="F128" s="8">
        <v>10.210000000000001</v>
      </c>
      <c r="G128" s="3">
        <v>195695</v>
      </c>
      <c r="H128" s="3"/>
      <c r="I128" s="3"/>
    </row>
    <row r="129" spans="1:9" x14ac:dyDescent="0.2">
      <c r="A129" t="s">
        <v>9</v>
      </c>
      <c r="B129" s="4">
        <v>45477</v>
      </c>
      <c r="C129" s="8">
        <v>10.3</v>
      </c>
      <c r="D129" s="8">
        <v>10.3</v>
      </c>
      <c r="E129" s="8">
        <v>10.039999999999999</v>
      </c>
      <c r="F129" s="8">
        <v>10.1</v>
      </c>
      <c r="G129" s="3">
        <v>265623</v>
      </c>
      <c r="H129" s="3"/>
      <c r="I129" s="3"/>
    </row>
    <row r="130" spans="1:9" x14ac:dyDescent="0.2">
      <c r="A130" t="s">
        <v>9</v>
      </c>
      <c r="B130" s="4">
        <v>45478</v>
      </c>
      <c r="C130" s="8">
        <v>10.220000000000001</v>
      </c>
      <c r="D130" s="8">
        <v>10.220000000000001</v>
      </c>
      <c r="E130" s="8">
        <v>10.050000000000001</v>
      </c>
      <c r="F130" s="8">
        <v>10.11</v>
      </c>
      <c r="G130" s="3">
        <v>237272</v>
      </c>
      <c r="H130" s="3"/>
      <c r="I130" s="3"/>
    </row>
    <row r="131" spans="1:9" x14ac:dyDescent="0.2">
      <c r="A131" t="s">
        <v>9</v>
      </c>
      <c r="B131" s="4">
        <v>45481</v>
      </c>
      <c r="C131" s="8">
        <v>10.15</v>
      </c>
      <c r="D131" s="8">
        <v>10.33</v>
      </c>
      <c r="E131" s="8">
        <v>10.050000000000001</v>
      </c>
      <c r="F131" s="8">
        <v>10.32</v>
      </c>
      <c r="G131" s="3">
        <v>610252</v>
      </c>
      <c r="H131" s="3"/>
      <c r="I131" s="3"/>
    </row>
    <row r="132" spans="1:9" x14ac:dyDescent="0.2">
      <c r="A132" t="s">
        <v>9</v>
      </c>
      <c r="B132" s="4">
        <v>45482</v>
      </c>
      <c r="C132" s="8">
        <v>10.27</v>
      </c>
      <c r="D132" s="8">
        <v>10.27</v>
      </c>
      <c r="E132" s="8">
        <v>10.130000000000001</v>
      </c>
      <c r="F132" s="8">
        <v>10.130000000000001</v>
      </c>
      <c r="G132" s="3">
        <v>103003</v>
      </c>
      <c r="H132" s="3"/>
      <c r="I132" s="3"/>
    </row>
    <row r="133" spans="1:9" x14ac:dyDescent="0.2">
      <c r="A133" t="s">
        <v>9</v>
      </c>
      <c r="B133" s="4">
        <v>45483</v>
      </c>
      <c r="C133" s="8">
        <v>10.18</v>
      </c>
      <c r="D133" s="8">
        <v>10.18</v>
      </c>
      <c r="E133" s="8">
        <v>10.050000000000001</v>
      </c>
      <c r="F133" s="8">
        <v>10.06</v>
      </c>
      <c r="G133" s="3">
        <v>166776</v>
      </c>
      <c r="H133" s="3"/>
      <c r="I133" s="3"/>
    </row>
    <row r="134" spans="1:9" x14ac:dyDescent="0.2">
      <c r="A134" t="s">
        <v>9</v>
      </c>
      <c r="B134" s="4">
        <v>45484</v>
      </c>
      <c r="C134" s="8">
        <v>10.130000000000001</v>
      </c>
      <c r="D134" s="8">
        <v>10.130000000000001</v>
      </c>
      <c r="E134" s="8">
        <v>10.039999999999999</v>
      </c>
      <c r="F134" s="8">
        <v>10.08</v>
      </c>
      <c r="G134" s="3">
        <v>71967</v>
      </c>
      <c r="H134" s="3"/>
      <c r="I134" s="3"/>
    </row>
    <row r="135" spans="1:9" x14ac:dyDescent="0.2">
      <c r="A135" t="s">
        <v>9</v>
      </c>
      <c r="B135" s="4">
        <v>45485</v>
      </c>
      <c r="C135" s="8">
        <v>10.08</v>
      </c>
      <c r="D135" s="8">
        <v>10.08</v>
      </c>
      <c r="E135" s="8">
        <v>9.85</v>
      </c>
      <c r="F135" s="8">
        <v>9.8800000000000008</v>
      </c>
      <c r="G135" s="3">
        <v>140184</v>
      </c>
      <c r="H135" s="3"/>
      <c r="I135" s="3"/>
    </row>
    <row r="136" spans="1:9" x14ac:dyDescent="0.2">
      <c r="A136" t="s">
        <v>9</v>
      </c>
      <c r="B136" s="4">
        <v>45488</v>
      </c>
      <c r="C136" s="8">
        <v>9.8800000000000008</v>
      </c>
      <c r="D136" s="8">
        <v>9.8800000000000008</v>
      </c>
      <c r="E136" s="8">
        <v>9.65</v>
      </c>
      <c r="F136" s="8">
        <v>9.69</v>
      </c>
      <c r="G136" s="3">
        <v>178435</v>
      </c>
      <c r="H136" s="3"/>
      <c r="I136" s="3"/>
    </row>
    <row r="137" spans="1:9" x14ac:dyDescent="0.2">
      <c r="A137" t="s">
        <v>9</v>
      </c>
      <c r="B137" s="4">
        <v>45489</v>
      </c>
      <c r="C137" s="8">
        <v>9.6999999999999993</v>
      </c>
      <c r="D137" s="8">
        <v>9.6999999999999993</v>
      </c>
      <c r="E137" s="8">
        <v>9.5399999999999991</v>
      </c>
      <c r="F137" s="8">
        <v>9.56</v>
      </c>
      <c r="G137" s="3">
        <v>194888</v>
      </c>
      <c r="H137" s="3"/>
      <c r="I137" s="3"/>
    </row>
    <row r="138" spans="1:9" x14ac:dyDescent="0.2">
      <c r="A138" t="s">
        <v>9</v>
      </c>
      <c r="B138" s="4">
        <v>45490</v>
      </c>
      <c r="C138" s="8">
        <v>9.69</v>
      </c>
      <c r="D138" s="8">
        <v>9.9</v>
      </c>
      <c r="E138" s="8">
        <v>9.68</v>
      </c>
      <c r="F138" s="8">
        <v>9.73</v>
      </c>
      <c r="G138" s="3">
        <v>230823</v>
      </c>
      <c r="H138" s="3"/>
      <c r="I138" s="3"/>
    </row>
    <row r="139" spans="1:9" x14ac:dyDescent="0.2">
      <c r="A139" t="s">
        <v>9</v>
      </c>
      <c r="B139" s="4">
        <v>45491</v>
      </c>
      <c r="C139" s="8">
        <v>9.83</v>
      </c>
      <c r="D139" s="8">
        <v>9.86</v>
      </c>
      <c r="E139" s="8">
        <v>9.7100000000000009</v>
      </c>
      <c r="F139" s="8">
        <v>9.86</v>
      </c>
      <c r="G139" s="3">
        <v>99559</v>
      </c>
      <c r="H139" s="3"/>
      <c r="I139" s="3"/>
    </row>
    <row r="140" spans="1:9" x14ac:dyDescent="0.2">
      <c r="A140" t="s">
        <v>9</v>
      </c>
      <c r="B140" s="4">
        <v>45492</v>
      </c>
      <c r="C140" s="8">
        <v>9.8699999999999992</v>
      </c>
      <c r="D140" s="8">
        <v>9.8699999999999992</v>
      </c>
      <c r="E140" s="8">
        <v>9.67</v>
      </c>
      <c r="F140" s="8">
        <v>9.74</v>
      </c>
      <c r="G140" s="3">
        <v>76429</v>
      </c>
      <c r="H140" s="3"/>
      <c r="I140" s="3"/>
    </row>
    <row r="141" spans="1:9" x14ac:dyDescent="0.2">
      <c r="A141" t="s">
        <v>9</v>
      </c>
      <c r="B141" s="4">
        <v>45495</v>
      </c>
      <c r="C141" s="8">
        <v>9.7200000000000006</v>
      </c>
      <c r="D141" s="8">
        <v>9.7899999999999991</v>
      </c>
      <c r="E141" s="8">
        <v>9.69</v>
      </c>
      <c r="F141" s="8">
        <v>9.6999999999999993</v>
      </c>
      <c r="G141" s="3">
        <v>297985</v>
      </c>
      <c r="H141" s="3"/>
      <c r="I141" s="3"/>
    </row>
    <row r="142" spans="1:9" x14ac:dyDescent="0.2">
      <c r="A142" t="s">
        <v>9</v>
      </c>
      <c r="B142" s="4">
        <v>45496</v>
      </c>
      <c r="C142" s="8">
        <v>9.73</v>
      </c>
      <c r="D142" s="8">
        <v>9.84</v>
      </c>
      <c r="E142" s="8">
        <v>9.69</v>
      </c>
      <c r="F142" s="8">
        <v>9.81</v>
      </c>
      <c r="G142" s="3">
        <v>368404</v>
      </c>
      <c r="H142" s="3"/>
      <c r="I142" s="3"/>
    </row>
    <row r="143" spans="1:9" x14ac:dyDescent="0.2">
      <c r="A143" t="s">
        <v>9</v>
      </c>
      <c r="B143" s="4">
        <v>45497</v>
      </c>
      <c r="C143" s="8">
        <v>9.8000000000000007</v>
      </c>
      <c r="D143" s="8">
        <v>10</v>
      </c>
      <c r="E143" s="8">
        <v>9.76</v>
      </c>
      <c r="F143" s="8">
        <v>10</v>
      </c>
      <c r="G143" s="3">
        <v>123555</v>
      </c>
      <c r="H143" s="3"/>
      <c r="I143" s="3"/>
    </row>
    <row r="144" spans="1:9" x14ac:dyDescent="0.2">
      <c r="A144" t="s">
        <v>9</v>
      </c>
      <c r="B144" s="4">
        <v>45498</v>
      </c>
      <c r="C144" s="8">
        <v>9.91</v>
      </c>
      <c r="D144" s="8">
        <v>9.9499999999999993</v>
      </c>
      <c r="E144" s="8">
        <v>9.85</v>
      </c>
      <c r="F144" s="8">
        <v>9.85</v>
      </c>
      <c r="G144" s="3">
        <v>153133</v>
      </c>
      <c r="H144" s="3"/>
      <c r="I144" s="3"/>
    </row>
    <row r="145" spans="1:9" x14ac:dyDescent="0.2">
      <c r="A145" t="s">
        <v>9</v>
      </c>
      <c r="B145" s="4">
        <v>45499</v>
      </c>
      <c r="C145" s="8">
        <v>9.9</v>
      </c>
      <c r="D145" s="8">
        <v>9.9</v>
      </c>
      <c r="E145" s="8">
        <v>9.7100000000000009</v>
      </c>
      <c r="F145" s="8">
        <v>9.7200000000000006</v>
      </c>
      <c r="G145" s="3">
        <v>160796</v>
      </c>
      <c r="H145" s="3"/>
      <c r="I145" s="3"/>
    </row>
    <row r="146" spans="1:9" x14ac:dyDescent="0.2">
      <c r="A146" t="s">
        <v>9</v>
      </c>
      <c r="B146" s="4">
        <v>45502</v>
      </c>
      <c r="C146" s="8">
        <v>9.7799999999999994</v>
      </c>
      <c r="D146" s="8">
        <v>9.7899999999999991</v>
      </c>
      <c r="E146" s="8">
        <v>9.7200000000000006</v>
      </c>
      <c r="F146" s="8">
        <v>9.76</v>
      </c>
      <c r="G146" s="3">
        <v>109028</v>
      </c>
      <c r="H146" s="3"/>
      <c r="I146" s="3"/>
    </row>
    <row r="147" spans="1:9" x14ac:dyDescent="0.2">
      <c r="A147" t="s">
        <v>9</v>
      </c>
      <c r="B147" s="4">
        <v>45503</v>
      </c>
      <c r="C147" s="8">
        <v>9.92</v>
      </c>
      <c r="D147" s="8">
        <v>9.92</v>
      </c>
      <c r="E147" s="8">
        <v>9.69</v>
      </c>
      <c r="F147" s="8">
        <v>9.76</v>
      </c>
      <c r="G147" s="3">
        <v>129240</v>
      </c>
      <c r="H147" s="3"/>
      <c r="I147" s="3"/>
    </row>
    <row r="148" spans="1:9" x14ac:dyDescent="0.2">
      <c r="A148" t="s">
        <v>9</v>
      </c>
      <c r="B148" s="4">
        <v>45504</v>
      </c>
      <c r="C148" s="8">
        <v>9.8699999999999992</v>
      </c>
      <c r="D148" s="8">
        <v>9.8800000000000008</v>
      </c>
      <c r="E148" s="8">
        <v>9.7899999999999991</v>
      </c>
      <c r="F148" s="8">
        <v>9.82</v>
      </c>
      <c r="G148" s="3">
        <v>390401</v>
      </c>
      <c r="H148" s="3"/>
      <c r="I148" s="3"/>
    </row>
    <row r="149" spans="1:9" x14ac:dyDescent="0.2">
      <c r="A149" t="s">
        <v>9</v>
      </c>
      <c r="B149" s="4">
        <v>45505</v>
      </c>
      <c r="C149" s="8">
        <v>9.89</v>
      </c>
      <c r="D149" s="8">
        <v>9.89</v>
      </c>
      <c r="E149" s="8">
        <v>9.76</v>
      </c>
      <c r="F149" s="8">
        <v>9.85</v>
      </c>
      <c r="G149" s="3">
        <v>325900</v>
      </c>
      <c r="H149" s="3"/>
      <c r="I149" s="3"/>
    </row>
    <row r="150" spans="1:9" x14ac:dyDescent="0.2">
      <c r="A150" t="s">
        <v>9</v>
      </c>
      <c r="B150" s="4">
        <v>45506</v>
      </c>
      <c r="C150" s="8">
        <v>9.85</v>
      </c>
      <c r="D150" s="8">
        <v>9.9</v>
      </c>
      <c r="E150" s="8">
        <v>9.7100000000000009</v>
      </c>
      <c r="F150" s="8">
        <v>9.9</v>
      </c>
      <c r="G150" s="3">
        <v>204085</v>
      </c>
      <c r="H150" s="3"/>
      <c r="I150" s="3"/>
    </row>
    <row r="151" spans="1:9" x14ac:dyDescent="0.2">
      <c r="A151" t="s">
        <v>9</v>
      </c>
      <c r="B151" s="4">
        <v>45509</v>
      </c>
      <c r="C151" s="8">
        <v>9.83</v>
      </c>
      <c r="D151" s="8">
        <v>9.83</v>
      </c>
      <c r="E151" s="8">
        <v>9.48</v>
      </c>
      <c r="F151" s="8">
        <v>9.5399999999999991</v>
      </c>
      <c r="G151" s="3">
        <v>310256</v>
      </c>
      <c r="H151" s="3"/>
      <c r="I151" s="3"/>
    </row>
    <row r="152" spans="1:9" x14ac:dyDescent="0.2">
      <c r="A152" t="s">
        <v>9</v>
      </c>
      <c r="B152" s="4">
        <v>45510</v>
      </c>
      <c r="C152" s="8">
        <v>9.5399999999999991</v>
      </c>
      <c r="D152" s="8">
        <v>9.6199999999999992</v>
      </c>
      <c r="E152" s="8">
        <v>9.51</v>
      </c>
      <c r="F152" s="8">
        <v>9.5500000000000007</v>
      </c>
      <c r="G152" s="3">
        <v>181272</v>
      </c>
      <c r="H152" s="3"/>
      <c r="I152" s="3"/>
    </row>
    <row r="153" spans="1:9" x14ac:dyDescent="0.2">
      <c r="A153" t="s">
        <v>9</v>
      </c>
      <c r="B153" s="4">
        <v>45511</v>
      </c>
      <c r="C153" s="8">
        <v>9.65</v>
      </c>
      <c r="D153" s="8">
        <v>9.74</v>
      </c>
      <c r="E153" s="8">
        <v>9.58</v>
      </c>
      <c r="F153" s="8">
        <v>9.7200000000000006</v>
      </c>
      <c r="G153" s="3">
        <v>171401</v>
      </c>
      <c r="H153" s="3"/>
      <c r="I153" s="3"/>
    </row>
    <row r="154" spans="1:9" x14ac:dyDescent="0.2">
      <c r="A154" t="s">
        <v>9</v>
      </c>
      <c r="B154" s="4">
        <v>45512</v>
      </c>
      <c r="C154" s="8">
        <v>9.66</v>
      </c>
      <c r="D154" s="8">
        <v>9.7899999999999991</v>
      </c>
      <c r="E154" s="8">
        <v>9.6</v>
      </c>
      <c r="F154" s="8">
        <v>9.7200000000000006</v>
      </c>
      <c r="G154" s="3">
        <v>305827</v>
      </c>
      <c r="H154" s="3"/>
      <c r="I154" s="3"/>
    </row>
    <row r="155" spans="1:9" x14ac:dyDescent="0.2">
      <c r="A155" t="s">
        <v>9</v>
      </c>
      <c r="B155" s="4">
        <v>45513</v>
      </c>
      <c r="C155" s="8">
        <v>9.76</v>
      </c>
      <c r="D155" s="8">
        <v>9.7899999999999991</v>
      </c>
      <c r="E155" s="8">
        <v>9.6349999999999998</v>
      </c>
      <c r="F155" s="8">
        <v>9.77</v>
      </c>
      <c r="G155" s="3">
        <v>145983</v>
      </c>
      <c r="H155" s="3"/>
      <c r="I155" s="3"/>
    </row>
    <row r="156" spans="1:9" x14ac:dyDescent="0.2">
      <c r="A156" t="s">
        <v>9</v>
      </c>
      <c r="B156" s="4">
        <v>45516</v>
      </c>
      <c r="C156" s="8">
        <v>9.7899999999999991</v>
      </c>
      <c r="D156" s="8">
        <v>9.7899999999999991</v>
      </c>
      <c r="E156" s="8">
        <v>9.6199999999999992</v>
      </c>
      <c r="F156" s="8">
        <v>9.65</v>
      </c>
      <c r="G156" s="3">
        <v>193359</v>
      </c>
      <c r="H156" s="3"/>
      <c r="I156" s="3"/>
    </row>
    <row r="157" spans="1:9" x14ac:dyDescent="0.2">
      <c r="A157" t="s">
        <v>9</v>
      </c>
      <c r="B157" s="4">
        <v>45517</v>
      </c>
      <c r="C157" s="8">
        <v>9.7100000000000009</v>
      </c>
      <c r="D157" s="8">
        <v>9.73</v>
      </c>
      <c r="E157" s="8">
        <v>9.61</v>
      </c>
      <c r="F157" s="8">
        <v>9.68</v>
      </c>
      <c r="G157" s="3">
        <v>159721</v>
      </c>
      <c r="H157" s="3"/>
      <c r="I157" s="3"/>
    </row>
    <row r="158" spans="1:9" x14ac:dyDescent="0.2">
      <c r="A158" t="s">
        <v>9</v>
      </c>
      <c r="B158" s="4">
        <v>45518</v>
      </c>
      <c r="C158" s="8">
        <v>9.6999999999999993</v>
      </c>
      <c r="D158" s="8">
        <v>9.75</v>
      </c>
      <c r="E158" s="8">
        <v>9.59</v>
      </c>
      <c r="F158" s="8">
        <v>9.59</v>
      </c>
      <c r="G158" s="3">
        <v>1056118</v>
      </c>
      <c r="H158" s="3"/>
      <c r="I158" s="3"/>
    </row>
    <row r="159" spans="1:9" x14ac:dyDescent="0.2">
      <c r="A159" t="s">
        <v>9</v>
      </c>
      <c r="B159" s="4">
        <v>45519</v>
      </c>
      <c r="C159" s="8">
        <v>9.6</v>
      </c>
      <c r="D159" s="8">
        <v>9.81</v>
      </c>
      <c r="E159" s="8">
        <v>9.57</v>
      </c>
      <c r="F159" s="8">
        <v>9.81</v>
      </c>
      <c r="G159" s="3">
        <v>243765</v>
      </c>
      <c r="H159" s="3"/>
      <c r="I159" s="3"/>
    </row>
    <row r="160" spans="1:9" x14ac:dyDescent="0.2">
      <c r="A160" t="s">
        <v>9</v>
      </c>
      <c r="B160" s="4">
        <v>45520</v>
      </c>
      <c r="C160" s="8">
        <v>9.75</v>
      </c>
      <c r="D160" s="8">
        <v>9.9499999999999993</v>
      </c>
      <c r="E160" s="8">
        <v>9.75</v>
      </c>
      <c r="F160" s="8">
        <v>9.92</v>
      </c>
      <c r="G160" s="3">
        <v>135187</v>
      </c>
      <c r="H160" s="3"/>
      <c r="I160" s="3"/>
    </row>
    <row r="161" spans="1:9" x14ac:dyDescent="0.2">
      <c r="A161" t="s">
        <v>9</v>
      </c>
      <c r="B161" s="4">
        <v>45523</v>
      </c>
      <c r="C161" s="8">
        <v>9.86</v>
      </c>
      <c r="D161" s="8">
        <v>10.039999999999999</v>
      </c>
      <c r="E161" s="8">
        <v>9.8000000000000007</v>
      </c>
      <c r="F161" s="8">
        <v>10</v>
      </c>
      <c r="G161" s="3">
        <v>172682</v>
      </c>
      <c r="H161" s="3"/>
      <c r="I161" s="3"/>
    </row>
    <row r="162" spans="1:9" x14ac:dyDescent="0.2">
      <c r="A162" t="s">
        <v>9</v>
      </c>
      <c r="B162" s="4">
        <v>45524</v>
      </c>
      <c r="C162" s="8">
        <v>10.050000000000001</v>
      </c>
      <c r="D162" s="8">
        <v>10.050000000000001</v>
      </c>
      <c r="E162" s="8">
        <v>9.9499999999999993</v>
      </c>
      <c r="F162" s="8">
        <v>10.02</v>
      </c>
      <c r="G162" s="3">
        <v>412601</v>
      </c>
      <c r="H162" s="3"/>
      <c r="I162" s="3"/>
    </row>
    <row r="163" spans="1:9" x14ac:dyDescent="0.2">
      <c r="A163" t="s">
        <v>9</v>
      </c>
      <c r="B163" s="4">
        <v>45525</v>
      </c>
      <c r="C163" s="8">
        <v>9.94</v>
      </c>
      <c r="D163" s="8">
        <v>10.08</v>
      </c>
      <c r="E163" s="8">
        <v>9.93</v>
      </c>
      <c r="F163" s="8">
        <v>10.07</v>
      </c>
      <c r="G163" s="3">
        <v>264291</v>
      </c>
      <c r="H163" s="3"/>
      <c r="I163" s="3"/>
    </row>
    <row r="164" spans="1:9" x14ac:dyDescent="0.2">
      <c r="A164" t="s">
        <v>9</v>
      </c>
      <c r="B164" s="4">
        <v>45526</v>
      </c>
      <c r="C164" s="8">
        <v>10.02</v>
      </c>
      <c r="D164" s="8">
        <v>10.1</v>
      </c>
      <c r="E164" s="8">
        <v>9.9600000000000009</v>
      </c>
      <c r="F164" s="8">
        <v>9.9600000000000009</v>
      </c>
      <c r="G164" s="3">
        <v>154241</v>
      </c>
      <c r="H164" s="3"/>
      <c r="I164" s="3"/>
    </row>
    <row r="165" spans="1:9" x14ac:dyDescent="0.2">
      <c r="A165" t="s">
        <v>9</v>
      </c>
      <c r="B165" s="4">
        <v>45527</v>
      </c>
      <c r="C165" s="8">
        <v>9.9499999999999993</v>
      </c>
      <c r="D165" s="8">
        <v>10.14</v>
      </c>
      <c r="E165" s="8">
        <v>9.93</v>
      </c>
      <c r="F165" s="8">
        <v>10.14</v>
      </c>
      <c r="G165" s="3">
        <v>108309</v>
      </c>
      <c r="H165" s="3"/>
      <c r="I165" s="3"/>
    </row>
    <row r="166" spans="1:9" x14ac:dyDescent="0.2">
      <c r="A166" t="s">
        <v>9</v>
      </c>
      <c r="B166" s="4">
        <v>45530</v>
      </c>
      <c r="C166" s="8">
        <v>10.19</v>
      </c>
      <c r="D166" s="8">
        <v>10.26</v>
      </c>
      <c r="E166" s="8">
        <v>10.029999999999999</v>
      </c>
      <c r="F166" s="8">
        <v>10.029999999999999</v>
      </c>
      <c r="G166" s="3">
        <v>258178</v>
      </c>
      <c r="H166" s="3"/>
      <c r="I166" s="3"/>
    </row>
    <row r="167" spans="1:9" x14ac:dyDescent="0.2">
      <c r="A167" t="s">
        <v>9</v>
      </c>
      <c r="B167" s="4">
        <v>45531</v>
      </c>
      <c r="C167" s="8">
        <v>10.050000000000001</v>
      </c>
      <c r="D167" s="8">
        <v>10.06</v>
      </c>
      <c r="E167" s="8">
        <v>9.98</v>
      </c>
      <c r="F167" s="8">
        <v>10.02</v>
      </c>
      <c r="G167" s="3">
        <v>154325</v>
      </c>
      <c r="H167" s="3"/>
      <c r="I167" s="3"/>
    </row>
    <row r="168" spans="1:9" x14ac:dyDescent="0.2">
      <c r="A168" t="s">
        <v>9</v>
      </c>
      <c r="B168" s="4">
        <v>45532</v>
      </c>
      <c r="C168" s="8">
        <v>10.050000000000001</v>
      </c>
      <c r="D168" s="8">
        <v>10.15</v>
      </c>
      <c r="E168" s="8">
        <v>9.9749999999999996</v>
      </c>
      <c r="F168" s="8">
        <v>10.07</v>
      </c>
      <c r="G168" s="3">
        <v>307225</v>
      </c>
      <c r="H168" s="3"/>
      <c r="I168" s="3"/>
    </row>
    <row r="169" spans="1:9" x14ac:dyDescent="0.2">
      <c r="A169" t="s">
        <v>9</v>
      </c>
      <c r="B169" s="4">
        <v>45533</v>
      </c>
      <c r="C169" s="8">
        <v>10.01</v>
      </c>
      <c r="D169" s="8">
        <v>10.09</v>
      </c>
      <c r="E169" s="8">
        <v>9.99</v>
      </c>
      <c r="F169" s="8">
        <v>10.01</v>
      </c>
      <c r="G169" s="3">
        <v>166830</v>
      </c>
      <c r="H169" s="3"/>
      <c r="I169" s="3"/>
    </row>
    <row r="170" spans="1:9" x14ac:dyDescent="0.2">
      <c r="A170" t="s">
        <v>9</v>
      </c>
      <c r="B170" s="4">
        <v>45534</v>
      </c>
      <c r="C170" s="8">
        <v>10.1</v>
      </c>
      <c r="D170" s="8">
        <v>10.210000000000001</v>
      </c>
      <c r="E170" s="8">
        <v>10.08</v>
      </c>
      <c r="F170" s="8">
        <v>10.14</v>
      </c>
      <c r="G170" s="3">
        <v>233876</v>
      </c>
      <c r="H170" s="3"/>
      <c r="I170" s="3"/>
    </row>
    <row r="171" spans="1:9" x14ac:dyDescent="0.2">
      <c r="A171" t="s">
        <v>9</v>
      </c>
      <c r="B171" s="4">
        <v>45537</v>
      </c>
      <c r="C171" s="8">
        <v>10.17</v>
      </c>
      <c r="D171" s="8">
        <v>10.33</v>
      </c>
      <c r="E171" s="8">
        <v>10.119999999999999</v>
      </c>
      <c r="F171" s="8">
        <v>10.28</v>
      </c>
      <c r="G171" s="3">
        <v>258296</v>
      </c>
      <c r="H171" s="3"/>
      <c r="I171" s="3"/>
    </row>
    <row r="172" spans="1:9" x14ac:dyDescent="0.2">
      <c r="A172" t="s">
        <v>9</v>
      </c>
      <c r="B172" s="4">
        <v>45538</v>
      </c>
      <c r="C172" s="8">
        <v>10.050000000000001</v>
      </c>
      <c r="D172" s="8">
        <v>10.3</v>
      </c>
      <c r="E172" s="8">
        <v>10.050000000000001</v>
      </c>
      <c r="F172" s="8">
        <v>10.27</v>
      </c>
      <c r="G172" s="3">
        <v>161045</v>
      </c>
      <c r="H172" s="3"/>
      <c r="I172" s="3"/>
    </row>
    <row r="173" spans="1:9" x14ac:dyDescent="0.2">
      <c r="A173" t="s">
        <v>9</v>
      </c>
      <c r="B173" s="4">
        <v>45539</v>
      </c>
      <c r="C173" s="8">
        <v>10.29</v>
      </c>
      <c r="D173" s="8">
        <v>10.56</v>
      </c>
      <c r="E173" s="8">
        <v>10.27</v>
      </c>
      <c r="F173" s="8">
        <v>10.5</v>
      </c>
      <c r="G173" s="3">
        <v>223911</v>
      </c>
      <c r="H173" s="3"/>
      <c r="I173" s="3"/>
    </row>
    <row r="174" spans="1:9" x14ac:dyDescent="0.2">
      <c r="A174" t="s">
        <v>9</v>
      </c>
      <c r="B174" s="4">
        <v>45540</v>
      </c>
      <c r="C174" s="8">
        <v>10.6</v>
      </c>
      <c r="D174" s="8">
        <v>11.12</v>
      </c>
      <c r="E174" s="8">
        <v>10.565</v>
      </c>
      <c r="F174" s="8">
        <v>10.9</v>
      </c>
      <c r="G174" s="3">
        <v>275408</v>
      </c>
      <c r="H174" s="3"/>
      <c r="I174" s="3"/>
    </row>
    <row r="175" spans="1:9" x14ac:dyDescent="0.2">
      <c r="A175" t="s">
        <v>9</v>
      </c>
      <c r="B175" s="4">
        <v>45541</v>
      </c>
      <c r="C175" s="8">
        <v>10.91</v>
      </c>
      <c r="D175" s="8">
        <v>11.13</v>
      </c>
      <c r="E175" s="8">
        <v>10.81</v>
      </c>
      <c r="F175" s="8">
        <v>11.08</v>
      </c>
      <c r="G175" s="3">
        <v>289556</v>
      </c>
      <c r="H175" s="3"/>
      <c r="I175" s="3"/>
    </row>
    <row r="176" spans="1:9" x14ac:dyDescent="0.2">
      <c r="A176" t="s">
        <v>9</v>
      </c>
      <c r="B176" s="4">
        <v>45544</v>
      </c>
      <c r="C176" s="8">
        <v>10.98</v>
      </c>
      <c r="D176" s="8">
        <v>11.24</v>
      </c>
      <c r="E176" s="8">
        <v>10.95</v>
      </c>
      <c r="F176" s="8">
        <v>11.1</v>
      </c>
      <c r="G176" s="3">
        <v>735400</v>
      </c>
      <c r="H176" s="3"/>
      <c r="I176" s="3"/>
    </row>
    <row r="177" spans="1:9" x14ac:dyDescent="0.2">
      <c r="A177" t="s">
        <v>9</v>
      </c>
      <c r="B177" s="4">
        <v>45545</v>
      </c>
      <c r="C177" s="8">
        <v>11.2</v>
      </c>
      <c r="D177" s="8">
        <v>11.29</v>
      </c>
      <c r="E177" s="8">
        <v>11.06</v>
      </c>
      <c r="F177" s="8">
        <v>11.08</v>
      </c>
      <c r="G177" s="3">
        <v>480874</v>
      </c>
      <c r="H177" s="3"/>
      <c r="I177" s="3"/>
    </row>
    <row r="178" spans="1:9" x14ac:dyDescent="0.2">
      <c r="A178" t="s">
        <v>9</v>
      </c>
      <c r="B178" s="4">
        <v>45546</v>
      </c>
      <c r="C178" s="8">
        <v>11.2</v>
      </c>
      <c r="D178" s="8">
        <v>11.33</v>
      </c>
      <c r="E178" s="8">
        <v>11.16</v>
      </c>
      <c r="F178" s="8">
        <v>11.26</v>
      </c>
      <c r="G178" s="3">
        <v>441325</v>
      </c>
      <c r="H178" s="3"/>
      <c r="I178" s="3"/>
    </row>
    <row r="179" spans="1:9" x14ac:dyDescent="0.2">
      <c r="A179" t="s">
        <v>9</v>
      </c>
      <c r="B179" s="4">
        <v>45547</v>
      </c>
      <c r="C179" s="8">
        <v>11.36</v>
      </c>
      <c r="D179" s="8">
        <v>11.52</v>
      </c>
      <c r="E179" s="8">
        <v>11.26</v>
      </c>
      <c r="F179" s="8">
        <v>11.4</v>
      </c>
      <c r="G179" s="3">
        <v>500210</v>
      </c>
      <c r="H179" s="3"/>
      <c r="I179" s="3"/>
    </row>
    <row r="180" spans="1:9" x14ac:dyDescent="0.2">
      <c r="A180" t="s">
        <v>9</v>
      </c>
      <c r="B180" s="4">
        <v>45548</v>
      </c>
      <c r="C180" s="8">
        <v>11.42</v>
      </c>
      <c r="D180" s="8">
        <v>11.45</v>
      </c>
      <c r="E180" s="8">
        <v>11.22</v>
      </c>
      <c r="F180" s="8">
        <v>11.26</v>
      </c>
      <c r="G180" s="3">
        <v>329123</v>
      </c>
      <c r="H180" s="3"/>
      <c r="I180" s="3"/>
    </row>
    <row r="181" spans="1:9" x14ac:dyDescent="0.2">
      <c r="A181" t="s">
        <v>9</v>
      </c>
      <c r="B181" s="4">
        <v>45551</v>
      </c>
      <c r="C181" s="8">
        <v>11.4</v>
      </c>
      <c r="D181" s="8">
        <v>11.52</v>
      </c>
      <c r="E181" s="8">
        <v>11.11</v>
      </c>
      <c r="F181" s="8">
        <v>11.11</v>
      </c>
      <c r="G181" s="3">
        <v>491700</v>
      </c>
      <c r="H181" s="3"/>
      <c r="I181" s="3"/>
    </row>
    <row r="182" spans="1:9" x14ac:dyDescent="0.2">
      <c r="A182" t="s">
        <v>9</v>
      </c>
      <c r="B182" s="4">
        <v>45552</v>
      </c>
      <c r="C182" s="8">
        <v>11.1</v>
      </c>
      <c r="D182" s="8">
        <v>11.37</v>
      </c>
      <c r="E182" s="8">
        <v>11.09</v>
      </c>
      <c r="F182" s="8">
        <v>11.24</v>
      </c>
      <c r="G182" s="3">
        <v>710725</v>
      </c>
      <c r="H182" s="3"/>
      <c r="I182" s="3"/>
    </row>
    <row r="183" spans="1:9" x14ac:dyDescent="0.2">
      <c r="A183" t="s">
        <v>9</v>
      </c>
      <c r="B183" s="4">
        <v>45553</v>
      </c>
      <c r="C183" s="8">
        <v>11.66</v>
      </c>
      <c r="D183" s="8">
        <v>11.7</v>
      </c>
      <c r="E183" s="8">
        <v>11.15</v>
      </c>
      <c r="F183" s="8">
        <v>11.15</v>
      </c>
      <c r="G183" s="3">
        <v>347197</v>
      </c>
      <c r="H183" s="3"/>
      <c r="I183" s="3"/>
    </row>
    <row r="184" spans="1:9" x14ac:dyDescent="0.2">
      <c r="A184" t="s">
        <v>9</v>
      </c>
      <c r="B184" s="4">
        <v>45554</v>
      </c>
      <c r="C184" s="8">
        <v>11.4</v>
      </c>
      <c r="D184" s="8">
        <v>11.41</v>
      </c>
      <c r="E184" s="8">
        <v>11.18</v>
      </c>
      <c r="F184" s="8">
        <v>11.39</v>
      </c>
      <c r="G184" s="3">
        <v>497334</v>
      </c>
      <c r="H184" s="3"/>
      <c r="I184" s="3"/>
    </row>
    <row r="185" spans="1:9" x14ac:dyDescent="0.2">
      <c r="A185" t="s">
        <v>9</v>
      </c>
      <c r="B185" s="4">
        <v>45555</v>
      </c>
      <c r="C185" s="8">
        <v>11.43</v>
      </c>
      <c r="D185" s="8">
        <v>11.65</v>
      </c>
      <c r="E185" s="8">
        <v>11.2</v>
      </c>
      <c r="F185" s="8">
        <v>11.27</v>
      </c>
      <c r="G185" s="3">
        <v>4139537</v>
      </c>
      <c r="H185" s="3"/>
      <c r="I185" s="3"/>
    </row>
    <row r="186" spans="1:9" x14ac:dyDescent="0.2">
      <c r="A186" t="s">
        <v>9</v>
      </c>
      <c r="B186" s="4">
        <v>45558</v>
      </c>
      <c r="C186" s="8">
        <v>11.32</v>
      </c>
      <c r="D186" s="8">
        <v>11.33</v>
      </c>
      <c r="E186" s="8">
        <v>11.17</v>
      </c>
      <c r="F186" s="8">
        <v>11.33</v>
      </c>
      <c r="G186" s="3">
        <v>346993</v>
      </c>
      <c r="H186" s="3"/>
      <c r="I186" s="3"/>
    </row>
    <row r="187" spans="1:9" x14ac:dyDescent="0.2">
      <c r="A187" t="s">
        <v>9</v>
      </c>
      <c r="B187" s="4">
        <v>45559</v>
      </c>
      <c r="C187" s="8">
        <v>11.33</v>
      </c>
      <c r="D187" s="8">
        <v>11.37</v>
      </c>
      <c r="E187" s="8">
        <v>11.14</v>
      </c>
      <c r="F187" s="8">
        <v>11.17</v>
      </c>
      <c r="G187" s="3">
        <v>245916</v>
      </c>
      <c r="H187" s="3"/>
      <c r="I187" s="3"/>
    </row>
    <row r="188" spans="1:9" x14ac:dyDescent="0.2">
      <c r="A188" t="s">
        <v>9</v>
      </c>
      <c r="B188" s="4">
        <v>45560</v>
      </c>
      <c r="C188" s="8">
        <v>11.17</v>
      </c>
      <c r="D188" s="8">
        <v>11.17</v>
      </c>
      <c r="E188" s="8">
        <v>11.02</v>
      </c>
      <c r="F188" s="8">
        <v>11.14</v>
      </c>
      <c r="G188" s="3">
        <v>270959</v>
      </c>
      <c r="H188" s="3"/>
      <c r="I188" s="3"/>
    </row>
    <row r="189" spans="1:9" x14ac:dyDescent="0.2">
      <c r="A189" t="s">
        <v>9</v>
      </c>
      <c r="B189" s="4">
        <v>45561</v>
      </c>
      <c r="C189" s="8">
        <v>11.18</v>
      </c>
      <c r="D189" s="8">
        <v>11.35</v>
      </c>
      <c r="E189" s="8">
        <v>11.16</v>
      </c>
      <c r="F189" s="8">
        <v>11.31</v>
      </c>
      <c r="G189" s="3">
        <v>226392</v>
      </c>
      <c r="H189" s="3"/>
      <c r="I189" s="3"/>
    </row>
    <row r="190" spans="1:9" x14ac:dyDescent="0.2">
      <c r="A190" t="s">
        <v>9</v>
      </c>
      <c r="B190" s="4">
        <v>45562</v>
      </c>
      <c r="C190" s="8">
        <v>11.34</v>
      </c>
      <c r="D190" s="8">
        <v>11.59</v>
      </c>
      <c r="E190" s="8">
        <v>11.34</v>
      </c>
      <c r="F190" s="8">
        <v>11.42</v>
      </c>
      <c r="G190" s="3">
        <v>344254</v>
      </c>
      <c r="H190" s="3"/>
      <c r="I190" s="3"/>
    </row>
    <row r="191" spans="1:9" x14ac:dyDescent="0.2">
      <c r="A191" t="s">
        <v>9</v>
      </c>
      <c r="B191" s="4">
        <v>45565</v>
      </c>
      <c r="C191" s="8">
        <v>11.55</v>
      </c>
      <c r="D191" s="8">
        <v>11.55</v>
      </c>
      <c r="E191" s="8">
        <v>11.25</v>
      </c>
      <c r="F191" s="8">
        <v>11.41</v>
      </c>
      <c r="G191" s="3">
        <v>479634</v>
      </c>
      <c r="H191" s="3"/>
      <c r="I191" s="3"/>
    </row>
    <row r="192" spans="1:9" x14ac:dyDescent="0.2">
      <c r="A192" t="s">
        <v>9</v>
      </c>
      <c r="B192" s="4">
        <v>45566</v>
      </c>
      <c r="C192" s="8">
        <v>11.45</v>
      </c>
      <c r="D192" s="8">
        <v>11.45</v>
      </c>
      <c r="E192" s="8">
        <v>11.07</v>
      </c>
      <c r="F192" s="8">
        <v>11.17</v>
      </c>
      <c r="G192" s="3">
        <v>377444</v>
      </c>
      <c r="H192" s="3"/>
      <c r="I192" s="3"/>
    </row>
    <row r="193" spans="1:9" x14ac:dyDescent="0.2">
      <c r="A193" t="s">
        <v>9</v>
      </c>
      <c r="B193" s="4">
        <v>45567</v>
      </c>
      <c r="C193" s="8">
        <v>11.13</v>
      </c>
      <c r="D193" s="8">
        <v>11.23</v>
      </c>
      <c r="E193" s="8">
        <v>11.09</v>
      </c>
      <c r="F193" s="8">
        <v>11.18</v>
      </c>
      <c r="G193" s="3">
        <v>219339</v>
      </c>
      <c r="H193" s="3"/>
      <c r="I193" s="3"/>
    </row>
    <row r="194" spans="1:9" x14ac:dyDescent="0.2">
      <c r="A194" t="s">
        <v>9</v>
      </c>
      <c r="B194" s="4">
        <v>45568</v>
      </c>
      <c r="C194" s="8">
        <v>11.24</v>
      </c>
      <c r="D194" s="8">
        <v>11.24</v>
      </c>
      <c r="E194" s="8">
        <v>10.96</v>
      </c>
      <c r="F194" s="8">
        <v>11.08</v>
      </c>
      <c r="G194" s="3">
        <v>267411</v>
      </c>
      <c r="H194" s="3"/>
      <c r="I194" s="3"/>
    </row>
    <row r="195" spans="1:9" x14ac:dyDescent="0.2">
      <c r="A195" t="s">
        <v>9</v>
      </c>
      <c r="B195" s="4">
        <v>45569</v>
      </c>
      <c r="C195" s="8">
        <v>11.11</v>
      </c>
      <c r="D195" s="8">
        <v>11.25</v>
      </c>
      <c r="E195" s="8">
        <v>10.99</v>
      </c>
      <c r="F195" s="8">
        <v>11.08</v>
      </c>
      <c r="G195" s="3">
        <v>301984</v>
      </c>
      <c r="H195" s="3"/>
      <c r="I195" s="3"/>
    </row>
    <row r="196" spans="1:9" x14ac:dyDescent="0.2">
      <c r="A196" t="s">
        <v>9</v>
      </c>
      <c r="B196" s="4">
        <v>45572</v>
      </c>
      <c r="C196" s="8">
        <v>11.16</v>
      </c>
      <c r="D196" s="8">
        <v>11.2</v>
      </c>
      <c r="E196" s="8">
        <v>11.08</v>
      </c>
      <c r="F196" s="8">
        <v>11.16</v>
      </c>
      <c r="G196" s="3">
        <v>159359</v>
      </c>
      <c r="H196" s="3"/>
      <c r="I196" s="3"/>
    </row>
    <row r="197" spans="1:9" x14ac:dyDescent="0.2">
      <c r="A197" t="s">
        <v>9</v>
      </c>
      <c r="B197" s="4">
        <v>45573</v>
      </c>
      <c r="C197" s="8">
        <v>11.16</v>
      </c>
      <c r="D197" s="8">
        <v>11.16</v>
      </c>
      <c r="E197" s="8">
        <v>11</v>
      </c>
      <c r="F197" s="8">
        <v>11.04</v>
      </c>
      <c r="G197" s="3">
        <v>255818</v>
      </c>
      <c r="H197" s="3"/>
      <c r="I197" s="3"/>
    </row>
    <row r="198" spans="1:9" x14ac:dyDescent="0.2">
      <c r="A198" t="s">
        <v>9</v>
      </c>
      <c r="B198" s="4">
        <v>45574</v>
      </c>
      <c r="C198" s="8">
        <v>11.04</v>
      </c>
      <c r="D198" s="8">
        <v>11.19</v>
      </c>
      <c r="E198" s="8">
        <v>11</v>
      </c>
      <c r="F198" s="8">
        <v>11.17</v>
      </c>
      <c r="G198" s="3">
        <v>293823</v>
      </c>
      <c r="H198" s="3"/>
      <c r="I198" s="3"/>
    </row>
    <row r="199" spans="1:9" x14ac:dyDescent="0.2">
      <c r="A199" t="s">
        <v>9</v>
      </c>
      <c r="B199" s="4">
        <v>45575</v>
      </c>
      <c r="C199" s="8">
        <v>11.2</v>
      </c>
      <c r="D199" s="8">
        <v>11.2</v>
      </c>
      <c r="E199" s="8">
        <v>10.87</v>
      </c>
      <c r="F199" s="8">
        <v>10.9</v>
      </c>
      <c r="G199" s="3">
        <v>383539</v>
      </c>
      <c r="H199" s="3"/>
      <c r="I199" s="3"/>
    </row>
    <row r="200" spans="1:9" x14ac:dyDescent="0.2">
      <c r="A200" t="s">
        <v>9</v>
      </c>
      <c r="B200" s="4">
        <v>45576</v>
      </c>
      <c r="C200" s="8">
        <v>10.91</v>
      </c>
      <c r="D200" s="8">
        <v>11.175000000000001</v>
      </c>
      <c r="E200" s="8">
        <v>10.9</v>
      </c>
      <c r="F200" s="8">
        <v>11.16</v>
      </c>
      <c r="G200" s="3">
        <v>226820</v>
      </c>
      <c r="H200" s="3"/>
      <c r="I200" s="3"/>
    </row>
    <row r="201" spans="1:9" x14ac:dyDescent="0.2">
      <c r="A201" t="s">
        <v>9</v>
      </c>
      <c r="B201" s="4">
        <v>45579</v>
      </c>
      <c r="C201" s="8">
        <v>11.16</v>
      </c>
      <c r="D201" s="8">
        <v>11.18</v>
      </c>
      <c r="E201" s="8">
        <v>10.97</v>
      </c>
      <c r="F201" s="8">
        <v>11.06</v>
      </c>
      <c r="G201" s="3">
        <v>127087</v>
      </c>
      <c r="H201" s="3"/>
      <c r="I201" s="3"/>
    </row>
    <row r="202" spans="1:9" x14ac:dyDescent="0.2">
      <c r="A202" t="s">
        <v>9</v>
      </c>
      <c r="B202" s="4">
        <v>45580</v>
      </c>
      <c r="C202" s="8">
        <v>11.1</v>
      </c>
      <c r="D202" s="8">
        <v>11.2</v>
      </c>
      <c r="E202" s="8">
        <v>10.97</v>
      </c>
      <c r="F202" s="8">
        <v>11.12</v>
      </c>
      <c r="G202" s="3">
        <v>375162</v>
      </c>
      <c r="H202" s="3"/>
      <c r="I202" s="3"/>
    </row>
    <row r="203" spans="1:9" x14ac:dyDescent="0.2">
      <c r="A203" t="s">
        <v>9</v>
      </c>
      <c r="B203" s="4">
        <v>45581</v>
      </c>
      <c r="C203" s="8">
        <v>11.06</v>
      </c>
      <c r="D203" s="8">
        <v>11.08</v>
      </c>
      <c r="E203" s="8">
        <v>10.87</v>
      </c>
      <c r="F203" s="8">
        <v>10.89</v>
      </c>
      <c r="G203" s="3">
        <v>351476</v>
      </c>
      <c r="H203" s="3"/>
      <c r="I203" s="3"/>
    </row>
    <row r="204" spans="1:9" x14ac:dyDescent="0.2">
      <c r="A204" t="s">
        <v>9</v>
      </c>
      <c r="B204" s="4">
        <v>45582</v>
      </c>
      <c r="C204" s="8">
        <v>11.15</v>
      </c>
      <c r="D204" s="8">
        <v>11.15</v>
      </c>
      <c r="E204" s="8">
        <v>10.87</v>
      </c>
      <c r="F204" s="8">
        <v>11.07</v>
      </c>
      <c r="G204" s="3">
        <v>472507</v>
      </c>
      <c r="H204" s="3"/>
      <c r="I204" s="3"/>
    </row>
    <row r="205" spans="1:9" x14ac:dyDescent="0.2">
      <c r="A205" t="s">
        <v>9</v>
      </c>
      <c r="B205" s="4">
        <v>45583</v>
      </c>
      <c r="C205" s="8">
        <v>11.1</v>
      </c>
      <c r="D205" s="8">
        <v>11.13</v>
      </c>
      <c r="E205" s="8">
        <v>11</v>
      </c>
      <c r="F205" s="8">
        <v>11.12</v>
      </c>
      <c r="G205" s="3">
        <v>965222</v>
      </c>
      <c r="H205" s="3"/>
      <c r="I205" s="3"/>
    </row>
    <row r="206" spans="1:9" x14ac:dyDescent="0.2">
      <c r="A206" t="s">
        <v>9</v>
      </c>
      <c r="B206" s="4">
        <v>45586</v>
      </c>
      <c r="C206" s="8">
        <v>11.12</v>
      </c>
      <c r="D206" s="8">
        <v>11.32</v>
      </c>
      <c r="E206" s="8">
        <v>11.03</v>
      </c>
      <c r="F206" s="8">
        <v>11.27</v>
      </c>
      <c r="G206" s="3">
        <v>255165</v>
      </c>
      <c r="H206" s="3"/>
      <c r="I206" s="3"/>
    </row>
    <row r="207" spans="1:9" x14ac:dyDescent="0.2">
      <c r="A207" t="s">
        <v>9</v>
      </c>
      <c r="B207" s="4">
        <v>45587</v>
      </c>
      <c r="C207" s="8">
        <v>11.14</v>
      </c>
      <c r="D207" s="8">
        <v>11.53</v>
      </c>
      <c r="E207" s="8">
        <v>11.1</v>
      </c>
      <c r="F207" s="8">
        <v>11.46</v>
      </c>
      <c r="G207" s="3">
        <v>335836</v>
      </c>
      <c r="H207" s="3"/>
      <c r="I207" s="3"/>
    </row>
    <row r="208" spans="1:9" x14ac:dyDescent="0.2">
      <c r="A208" t="s">
        <v>9</v>
      </c>
      <c r="B208" s="4">
        <v>45588</v>
      </c>
      <c r="C208" s="8">
        <v>11.43</v>
      </c>
      <c r="D208" s="8">
        <v>11.62</v>
      </c>
      <c r="E208" s="8">
        <v>11.35</v>
      </c>
      <c r="F208" s="8">
        <v>11.62</v>
      </c>
      <c r="G208" s="3">
        <v>434065</v>
      </c>
      <c r="H208" s="3"/>
      <c r="I208" s="3"/>
    </row>
    <row r="209" spans="1:9" x14ac:dyDescent="0.2">
      <c r="A209" t="s">
        <v>9</v>
      </c>
      <c r="B209" s="4">
        <v>45589</v>
      </c>
      <c r="C209" s="8">
        <v>11.62</v>
      </c>
      <c r="D209" s="8">
        <v>12.05</v>
      </c>
      <c r="E209" s="8">
        <v>11.54</v>
      </c>
      <c r="F209" s="8">
        <v>11.78</v>
      </c>
      <c r="G209" s="3">
        <v>611325</v>
      </c>
      <c r="H209" s="3"/>
      <c r="I209" s="3"/>
    </row>
    <row r="210" spans="1:9" x14ac:dyDescent="0.2">
      <c r="A210" t="s">
        <v>9</v>
      </c>
      <c r="B210" s="4">
        <v>45590</v>
      </c>
      <c r="C210" s="8">
        <v>11.86</v>
      </c>
      <c r="D210" s="8">
        <v>11.88</v>
      </c>
      <c r="E210" s="8">
        <v>11.65</v>
      </c>
      <c r="F210" s="8">
        <v>11.66</v>
      </c>
      <c r="G210" s="3">
        <v>270745</v>
      </c>
      <c r="H210" s="3"/>
      <c r="I210" s="3"/>
    </row>
    <row r="211" spans="1:9" x14ac:dyDescent="0.2">
      <c r="A211" t="s">
        <v>9</v>
      </c>
      <c r="B211" s="4">
        <v>45593</v>
      </c>
      <c r="C211" s="8">
        <v>11.68</v>
      </c>
      <c r="D211" s="8">
        <v>11.98</v>
      </c>
      <c r="E211" s="8">
        <v>11.67</v>
      </c>
      <c r="F211" s="8">
        <v>11.95</v>
      </c>
      <c r="G211" s="3">
        <v>519562</v>
      </c>
      <c r="H211" s="3"/>
      <c r="I211" s="3"/>
    </row>
    <row r="212" spans="1:9" x14ac:dyDescent="0.2">
      <c r="A212" t="s">
        <v>9</v>
      </c>
      <c r="B212" s="4">
        <v>45594</v>
      </c>
      <c r="C212" s="8">
        <v>12.04</v>
      </c>
      <c r="D212" s="8">
        <v>12.04</v>
      </c>
      <c r="E212" s="8">
        <v>11.85</v>
      </c>
      <c r="F212" s="8">
        <v>11.97</v>
      </c>
      <c r="G212" s="3">
        <v>378633</v>
      </c>
      <c r="H212" s="3"/>
      <c r="I212" s="3"/>
    </row>
    <row r="213" spans="1:9" x14ac:dyDescent="0.2">
      <c r="A213" t="s">
        <v>9</v>
      </c>
      <c r="B213" s="4">
        <v>45595</v>
      </c>
      <c r="C213" s="8">
        <v>12</v>
      </c>
      <c r="D213" s="8">
        <v>12</v>
      </c>
      <c r="E213" s="8">
        <v>11.67</v>
      </c>
      <c r="F213" s="8">
        <v>11.67</v>
      </c>
      <c r="G213" s="3">
        <v>378408</v>
      </c>
      <c r="H213" s="3"/>
      <c r="I213" s="3"/>
    </row>
    <row r="214" spans="1:9" x14ac:dyDescent="0.2">
      <c r="A214" t="s">
        <v>9</v>
      </c>
      <c r="B214" s="4">
        <v>45596</v>
      </c>
      <c r="C214" s="8">
        <v>11.7</v>
      </c>
      <c r="D214" s="8">
        <v>11.71</v>
      </c>
      <c r="E214" s="8">
        <v>11.45</v>
      </c>
      <c r="F214" s="8">
        <v>11.5</v>
      </c>
      <c r="G214" s="3">
        <v>331517</v>
      </c>
      <c r="H214" s="3"/>
      <c r="I214" s="3"/>
    </row>
    <row r="215" spans="1:9" x14ac:dyDescent="0.2">
      <c r="A215" t="s">
        <v>9</v>
      </c>
      <c r="B215" s="4">
        <v>45597</v>
      </c>
      <c r="C215" s="8">
        <v>11.44</v>
      </c>
      <c r="D215" s="8">
        <v>11.615</v>
      </c>
      <c r="E215" s="8">
        <v>11.41</v>
      </c>
      <c r="F215" s="8">
        <v>11.61</v>
      </c>
      <c r="G215" s="3">
        <v>340282</v>
      </c>
      <c r="H215" s="3"/>
      <c r="I215" s="3"/>
    </row>
    <row r="216" spans="1:9" x14ac:dyDescent="0.2">
      <c r="A216" t="s">
        <v>9</v>
      </c>
      <c r="B216" s="4">
        <v>45600</v>
      </c>
      <c r="C216" s="8">
        <v>11.61</v>
      </c>
      <c r="D216" s="8">
        <v>11.725</v>
      </c>
      <c r="E216" s="8">
        <v>11.41</v>
      </c>
      <c r="F216" s="8">
        <v>11.58</v>
      </c>
      <c r="G216" s="3">
        <v>270838</v>
      </c>
      <c r="H216" s="3"/>
      <c r="I216" s="3"/>
    </row>
    <row r="217" spans="1:9" x14ac:dyDescent="0.2">
      <c r="A217" t="s">
        <v>9</v>
      </c>
      <c r="B217" s="4">
        <v>45601</v>
      </c>
      <c r="C217" s="8">
        <v>11.55</v>
      </c>
      <c r="D217" s="8">
        <v>11.6</v>
      </c>
      <c r="E217" s="8">
        <v>11.45</v>
      </c>
      <c r="F217" s="8">
        <v>11.46</v>
      </c>
      <c r="G217" s="3">
        <v>202461</v>
      </c>
      <c r="H217" s="3"/>
      <c r="I217" s="3"/>
    </row>
    <row r="218" spans="1:9" x14ac:dyDescent="0.2">
      <c r="A218" t="s">
        <v>9</v>
      </c>
      <c r="B218" s="4">
        <v>45602</v>
      </c>
      <c r="C218" s="8">
        <v>11.7</v>
      </c>
      <c r="D218" s="8">
        <v>11.75</v>
      </c>
      <c r="E218" s="8">
        <v>11.55</v>
      </c>
      <c r="F218" s="8">
        <v>11.66</v>
      </c>
      <c r="G218" s="3">
        <v>385737</v>
      </c>
      <c r="H218" s="3"/>
      <c r="I218" s="3"/>
    </row>
    <row r="219" spans="1:9" x14ac:dyDescent="0.2">
      <c r="A219" t="s">
        <v>9</v>
      </c>
      <c r="B219" s="4">
        <v>45603</v>
      </c>
      <c r="C219" s="8">
        <v>11.69</v>
      </c>
      <c r="D219" s="8">
        <v>11.69</v>
      </c>
      <c r="E219" s="8">
        <v>11.345000000000001</v>
      </c>
      <c r="F219" s="8">
        <v>11.4</v>
      </c>
      <c r="G219" s="3">
        <v>406884</v>
      </c>
      <c r="H219" s="3"/>
      <c r="I219" s="3"/>
    </row>
    <row r="220" spans="1:9" x14ac:dyDescent="0.2">
      <c r="A220" t="s">
        <v>9</v>
      </c>
      <c r="B220" s="4">
        <v>45604</v>
      </c>
      <c r="C220" s="8">
        <v>11.67</v>
      </c>
      <c r="D220" s="8">
        <v>11.67</v>
      </c>
      <c r="E220" s="8">
        <v>11.3</v>
      </c>
      <c r="F220" s="8">
        <v>11.3</v>
      </c>
      <c r="G220" s="3">
        <v>412369</v>
      </c>
      <c r="H220" s="3"/>
      <c r="I220" s="3"/>
    </row>
    <row r="221" spans="1:9" x14ac:dyDescent="0.2">
      <c r="A221" t="s">
        <v>9</v>
      </c>
      <c r="B221" s="4">
        <v>45607</v>
      </c>
      <c r="C221" s="8">
        <v>11.22</v>
      </c>
      <c r="D221" s="8">
        <v>11.28</v>
      </c>
      <c r="E221" s="8">
        <v>11.03</v>
      </c>
      <c r="F221" s="8">
        <v>11.04</v>
      </c>
      <c r="G221" s="3">
        <v>301377</v>
      </c>
      <c r="H221" s="3"/>
      <c r="I221" s="3"/>
    </row>
    <row r="222" spans="1:9" x14ac:dyDescent="0.2">
      <c r="A222" t="s">
        <v>9</v>
      </c>
      <c r="B222" s="4">
        <v>45608</v>
      </c>
      <c r="C222" s="8">
        <v>11.24</v>
      </c>
      <c r="D222" s="8">
        <v>11.24</v>
      </c>
      <c r="E222" s="8">
        <v>10.975</v>
      </c>
      <c r="F222" s="8">
        <v>11.13</v>
      </c>
      <c r="G222" s="3">
        <v>217752</v>
      </c>
      <c r="H222" s="3"/>
      <c r="I222" s="3"/>
    </row>
    <row r="223" spans="1:9" x14ac:dyDescent="0.2">
      <c r="A223" t="s">
        <v>9</v>
      </c>
      <c r="B223" s="4">
        <v>45609</v>
      </c>
      <c r="C223" s="8">
        <v>11.12</v>
      </c>
      <c r="D223" s="8">
        <v>11.28</v>
      </c>
      <c r="E223" s="8">
        <v>10.99</v>
      </c>
      <c r="F223" s="8">
        <v>11.27</v>
      </c>
      <c r="G223" s="3">
        <v>547510</v>
      </c>
      <c r="H223" s="3"/>
      <c r="I223" s="3"/>
    </row>
    <row r="224" spans="1:9" x14ac:dyDescent="0.2">
      <c r="A224" t="s">
        <v>9</v>
      </c>
      <c r="B224" s="4">
        <v>45610</v>
      </c>
      <c r="C224" s="8">
        <v>11.01</v>
      </c>
      <c r="D224" s="8">
        <v>11.5</v>
      </c>
      <c r="E224" s="8">
        <v>11.01</v>
      </c>
      <c r="F224" s="8">
        <v>11.29</v>
      </c>
      <c r="G224" s="3">
        <v>404223</v>
      </c>
      <c r="H224" s="3"/>
      <c r="I224" s="3"/>
    </row>
    <row r="225" spans="1:9" x14ac:dyDescent="0.2">
      <c r="A225" t="s">
        <v>9</v>
      </c>
      <c r="B225" s="4">
        <v>45611</v>
      </c>
      <c r="C225" s="8">
        <v>11.41</v>
      </c>
      <c r="D225" s="8">
        <v>11.6</v>
      </c>
      <c r="E225" s="8">
        <v>11.38</v>
      </c>
      <c r="F225" s="8">
        <v>11.41</v>
      </c>
      <c r="G225" s="3">
        <v>469934</v>
      </c>
      <c r="H225" s="3"/>
      <c r="I225" s="3"/>
    </row>
    <row r="226" spans="1:9" x14ac:dyDescent="0.2">
      <c r="A226" t="s">
        <v>9</v>
      </c>
      <c r="B226" s="4">
        <v>45614</v>
      </c>
      <c r="C226" s="8">
        <v>11.41</v>
      </c>
      <c r="D226" s="8">
        <v>11.41</v>
      </c>
      <c r="E226" s="8">
        <v>11.18</v>
      </c>
      <c r="F226" s="8">
        <v>11.25</v>
      </c>
      <c r="G226" s="3">
        <v>269553</v>
      </c>
      <c r="H226" s="3"/>
      <c r="I226" s="3"/>
    </row>
    <row r="227" spans="1:9" x14ac:dyDescent="0.2">
      <c r="A227" t="s">
        <v>9</v>
      </c>
      <c r="B227" s="4">
        <v>45615</v>
      </c>
      <c r="C227" s="8">
        <v>11.38</v>
      </c>
      <c r="D227" s="8">
        <v>11.38</v>
      </c>
      <c r="E227" s="8">
        <v>11</v>
      </c>
      <c r="F227" s="8">
        <v>11.01</v>
      </c>
      <c r="G227" s="3">
        <v>345945</v>
      </c>
      <c r="H227" s="3"/>
      <c r="I227" s="3"/>
    </row>
    <row r="228" spans="1:9" x14ac:dyDescent="0.2">
      <c r="A228" t="s">
        <v>9</v>
      </c>
      <c r="B228" s="4">
        <v>45616</v>
      </c>
      <c r="C228" s="8">
        <v>11.05</v>
      </c>
      <c r="D228" s="8">
        <v>11.19</v>
      </c>
      <c r="E228" s="8">
        <v>10.81</v>
      </c>
      <c r="F228" s="8">
        <v>11.08</v>
      </c>
      <c r="G228" s="3">
        <v>282842</v>
      </c>
      <c r="H228" s="3"/>
      <c r="I228" s="3"/>
    </row>
    <row r="229" spans="1:9" x14ac:dyDescent="0.2">
      <c r="A229" t="s">
        <v>9</v>
      </c>
      <c r="B229" s="4">
        <v>45617</v>
      </c>
      <c r="C229" s="8">
        <v>11.2</v>
      </c>
      <c r="D229" s="8">
        <v>11.28</v>
      </c>
      <c r="E229" s="8">
        <v>11.13</v>
      </c>
      <c r="F229" s="8">
        <v>11.19</v>
      </c>
      <c r="G229" s="3">
        <v>135040</v>
      </c>
      <c r="H229" s="3"/>
      <c r="I229" s="3"/>
    </row>
    <row r="230" spans="1:9" x14ac:dyDescent="0.2">
      <c r="A230" t="s">
        <v>9</v>
      </c>
      <c r="B230" s="4">
        <v>45618</v>
      </c>
      <c r="C230" s="8">
        <v>11.42</v>
      </c>
      <c r="D230" s="8">
        <v>11.42</v>
      </c>
      <c r="E230" s="8">
        <v>11.02</v>
      </c>
      <c r="F230" s="8">
        <v>11.2</v>
      </c>
      <c r="G230" s="3">
        <v>263261</v>
      </c>
      <c r="H230" s="3"/>
      <c r="I230" s="3"/>
    </row>
    <row r="231" spans="1:9" x14ac:dyDescent="0.2">
      <c r="A231" t="s">
        <v>9</v>
      </c>
      <c r="B231" s="4">
        <v>45621</v>
      </c>
      <c r="C231" s="8">
        <v>11.23</v>
      </c>
      <c r="D231" s="8">
        <v>11.65</v>
      </c>
      <c r="E231" s="8">
        <v>11.2</v>
      </c>
      <c r="F231" s="8">
        <v>11.42</v>
      </c>
      <c r="G231" s="3">
        <v>984018</v>
      </c>
      <c r="H231" s="3"/>
      <c r="I231" s="3"/>
    </row>
    <row r="232" spans="1:9" x14ac:dyDescent="0.2">
      <c r="A232" t="s">
        <v>9</v>
      </c>
      <c r="B232" s="4">
        <v>45622</v>
      </c>
      <c r="C232" s="8">
        <v>11.4</v>
      </c>
      <c r="D232" s="8">
        <v>11.46</v>
      </c>
      <c r="E232" s="8">
        <v>11.2</v>
      </c>
      <c r="F232" s="8">
        <v>11.4</v>
      </c>
      <c r="G232" s="3">
        <v>319716</v>
      </c>
      <c r="H232" s="3"/>
      <c r="I232" s="3"/>
    </row>
    <row r="233" spans="1:9" x14ac:dyDescent="0.2">
      <c r="A233" t="s">
        <v>9</v>
      </c>
      <c r="B233" s="4">
        <v>45623</v>
      </c>
      <c r="C233" s="8">
        <v>11.67</v>
      </c>
      <c r="D233" s="8">
        <v>11.7</v>
      </c>
      <c r="E233" s="8">
        <v>11.27</v>
      </c>
      <c r="F233" s="8">
        <v>11.6</v>
      </c>
      <c r="G233" s="3">
        <v>764174</v>
      </c>
      <c r="H233" s="3"/>
      <c r="I233" s="3"/>
    </row>
    <row r="234" spans="1:9" x14ac:dyDescent="0.2">
      <c r="A234" t="s">
        <v>9</v>
      </c>
      <c r="B234" s="4">
        <v>45624</v>
      </c>
      <c r="C234" s="8">
        <v>11.57</v>
      </c>
      <c r="D234" s="8">
        <v>11.84</v>
      </c>
      <c r="E234" s="8">
        <v>11.57</v>
      </c>
      <c r="F234" s="8">
        <v>11.57</v>
      </c>
      <c r="G234" s="3">
        <v>330030</v>
      </c>
      <c r="H234" s="3"/>
      <c r="I234" s="3"/>
    </row>
    <row r="235" spans="1:9" x14ac:dyDescent="0.2">
      <c r="A235" t="s">
        <v>9</v>
      </c>
      <c r="B235" s="4">
        <v>45625</v>
      </c>
      <c r="C235" s="8">
        <v>11.57</v>
      </c>
      <c r="D235" s="8">
        <v>11.73</v>
      </c>
      <c r="E235" s="8">
        <v>11.52</v>
      </c>
      <c r="F235" s="8">
        <v>11.63</v>
      </c>
      <c r="G235" s="3">
        <v>1264081</v>
      </c>
      <c r="H235" s="3"/>
      <c r="I235" s="3"/>
    </row>
    <row r="236" spans="1:9" x14ac:dyDescent="0.2">
      <c r="A236" t="s">
        <v>9</v>
      </c>
      <c r="B236" s="4">
        <v>45628</v>
      </c>
      <c r="C236" s="8">
        <v>11.75</v>
      </c>
      <c r="D236" s="8">
        <v>11.75</v>
      </c>
      <c r="E236" s="8">
        <v>11.5</v>
      </c>
      <c r="F236" s="8">
        <v>11.61</v>
      </c>
      <c r="G236" s="3">
        <v>225896</v>
      </c>
      <c r="H236" s="3"/>
      <c r="I236" s="3"/>
    </row>
    <row r="237" spans="1:9" x14ac:dyDescent="0.2">
      <c r="A237" t="s">
        <v>9</v>
      </c>
      <c r="B237" s="4">
        <v>45629</v>
      </c>
      <c r="C237" s="8">
        <v>11.62</v>
      </c>
      <c r="D237" s="8">
        <v>11.64</v>
      </c>
      <c r="E237" s="8">
        <v>11.32</v>
      </c>
      <c r="F237" s="8">
        <v>11.34</v>
      </c>
      <c r="G237" s="3">
        <v>216873</v>
      </c>
      <c r="H237" s="3"/>
      <c r="I237" s="3"/>
    </row>
    <row r="238" spans="1:9" x14ac:dyDescent="0.2">
      <c r="A238" t="s">
        <v>9</v>
      </c>
      <c r="B238" s="4">
        <v>45630</v>
      </c>
      <c r="C238" s="8">
        <v>11.35</v>
      </c>
      <c r="D238" s="8">
        <v>11.36</v>
      </c>
      <c r="E238" s="8">
        <v>11.2</v>
      </c>
      <c r="F238" s="8">
        <v>11.36</v>
      </c>
      <c r="G238" s="3">
        <v>202147</v>
      </c>
      <c r="H238" s="3"/>
      <c r="I238" s="3"/>
    </row>
    <row r="239" spans="1:9" x14ac:dyDescent="0.2">
      <c r="A239" t="s">
        <v>9</v>
      </c>
      <c r="B239" s="4">
        <v>45631</v>
      </c>
      <c r="C239" s="8">
        <v>11.44</v>
      </c>
      <c r="D239" s="8">
        <v>11.63</v>
      </c>
      <c r="E239" s="8">
        <v>11.4</v>
      </c>
      <c r="F239" s="8">
        <v>11.58</v>
      </c>
      <c r="G239" s="3">
        <v>323852</v>
      </c>
      <c r="H239" s="3"/>
      <c r="I239" s="3"/>
    </row>
    <row r="240" spans="1:9" x14ac:dyDescent="0.2">
      <c r="A240" t="s">
        <v>9</v>
      </c>
      <c r="B240" s="4">
        <v>45632</v>
      </c>
      <c r="C240" s="8">
        <v>11.58</v>
      </c>
      <c r="D240" s="8">
        <v>11.58</v>
      </c>
      <c r="E240" s="8">
        <v>11.36</v>
      </c>
      <c r="F240" s="8">
        <v>11.36</v>
      </c>
      <c r="G240" s="3">
        <v>347718</v>
      </c>
      <c r="H240" s="3"/>
      <c r="I240" s="3"/>
    </row>
    <row r="241" spans="1:9" x14ac:dyDescent="0.2">
      <c r="A241" t="s">
        <v>9</v>
      </c>
      <c r="B241" s="4">
        <v>45635</v>
      </c>
      <c r="C241" s="8">
        <v>11.38</v>
      </c>
      <c r="D241" s="8">
        <v>11.6</v>
      </c>
      <c r="E241" s="8">
        <v>11.345000000000001</v>
      </c>
      <c r="F241" s="8">
        <v>11.44</v>
      </c>
      <c r="G241" s="3">
        <v>294638</v>
      </c>
      <c r="H241" s="3"/>
      <c r="I241" s="3"/>
    </row>
    <row r="242" spans="1:9" x14ac:dyDescent="0.2">
      <c r="A242" t="s">
        <v>9</v>
      </c>
      <c r="B242" s="4">
        <v>45636</v>
      </c>
      <c r="C242" s="8">
        <v>11.44</v>
      </c>
      <c r="D242" s="8">
        <v>11.44</v>
      </c>
      <c r="E242" s="8">
        <v>11.03</v>
      </c>
      <c r="F242" s="8">
        <v>11.09</v>
      </c>
      <c r="G242" s="3">
        <v>475579</v>
      </c>
      <c r="H242" s="3"/>
      <c r="I242" s="3"/>
    </row>
    <row r="243" spans="1:9" x14ac:dyDescent="0.2">
      <c r="A243" t="s">
        <v>9</v>
      </c>
      <c r="B243" s="4">
        <v>45637</v>
      </c>
      <c r="C243" s="8">
        <v>11.32</v>
      </c>
      <c r="D243" s="8">
        <v>11.32</v>
      </c>
      <c r="E243" s="8">
        <v>10.93</v>
      </c>
      <c r="F243" s="8">
        <v>10.93</v>
      </c>
      <c r="G243" s="3">
        <v>207232</v>
      </c>
      <c r="H243" s="3"/>
      <c r="I243" s="3"/>
    </row>
    <row r="244" spans="1:9" x14ac:dyDescent="0.2">
      <c r="A244" t="s">
        <v>9</v>
      </c>
      <c r="B244" s="4">
        <v>45638</v>
      </c>
      <c r="C244" s="8">
        <v>11.17</v>
      </c>
      <c r="D244" s="8">
        <v>11.17</v>
      </c>
      <c r="E244" s="8">
        <v>10.81</v>
      </c>
      <c r="F244" s="8">
        <v>10.87</v>
      </c>
      <c r="G244" s="3">
        <v>186386</v>
      </c>
      <c r="H244" s="3"/>
      <c r="I244" s="3"/>
    </row>
    <row r="245" spans="1:9" x14ac:dyDescent="0.2">
      <c r="A245" t="s">
        <v>9</v>
      </c>
      <c r="B245" s="4">
        <v>45639</v>
      </c>
      <c r="C245" s="8">
        <v>11.2</v>
      </c>
      <c r="D245" s="8">
        <v>11.2</v>
      </c>
      <c r="E245" s="8">
        <v>10.9</v>
      </c>
      <c r="F245" s="8">
        <v>10.97</v>
      </c>
      <c r="G245" s="3">
        <v>202032</v>
      </c>
      <c r="H245" s="3"/>
      <c r="I245" s="3"/>
    </row>
    <row r="246" spans="1:9" x14ac:dyDescent="0.2">
      <c r="A246" t="s">
        <v>9</v>
      </c>
      <c r="B246" s="4">
        <v>45642</v>
      </c>
      <c r="C246" s="8">
        <v>11.09</v>
      </c>
      <c r="D246" s="8">
        <v>11.29</v>
      </c>
      <c r="E246" s="8">
        <v>10.94</v>
      </c>
      <c r="F246" s="8">
        <v>10.98</v>
      </c>
      <c r="G246" s="3">
        <v>179425</v>
      </c>
      <c r="H246" s="3"/>
      <c r="I246" s="3"/>
    </row>
    <row r="247" spans="1:9" x14ac:dyDescent="0.2">
      <c r="A247" t="s">
        <v>9</v>
      </c>
      <c r="B247" s="4">
        <v>45643</v>
      </c>
      <c r="C247" s="8">
        <v>11.21</v>
      </c>
      <c r="D247" s="8">
        <v>11.35</v>
      </c>
      <c r="E247" s="8">
        <v>11.07</v>
      </c>
      <c r="F247" s="8">
        <v>11.3</v>
      </c>
      <c r="G247" s="3">
        <v>376102</v>
      </c>
      <c r="H247" s="3"/>
      <c r="I247" s="3"/>
    </row>
    <row r="248" spans="1:9" x14ac:dyDescent="0.2">
      <c r="A248" t="s">
        <v>9</v>
      </c>
      <c r="B248" s="4">
        <v>45644</v>
      </c>
      <c r="C248" s="8">
        <v>11.27</v>
      </c>
      <c r="D248" s="8">
        <v>11.33</v>
      </c>
      <c r="E248" s="8">
        <v>11.145</v>
      </c>
      <c r="F248" s="8">
        <v>11.26</v>
      </c>
      <c r="G248" s="3">
        <v>168305</v>
      </c>
      <c r="H248" s="3"/>
      <c r="I248" s="3"/>
    </row>
    <row r="249" spans="1:9" x14ac:dyDescent="0.2">
      <c r="A249" t="s">
        <v>9</v>
      </c>
      <c r="B249" s="4">
        <v>45645</v>
      </c>
      <c r="C249" s="8">
        <v>11.25</v>
      </c>
      <c r="D249" s="8">
        <v>11.25</v>
      </c>
      <c r="E249" s="8">
        <v>10.96</v>
      </c>
      <c r="F249" s="8">
        <v>10.96</v>
      </c>
      <c r="G249" s="3">
        <v>229964</v>
      </c>
      <c r="H249" s="3"/>
      <c r="I249" s="3"/>
    </row>
    <row r="250" spans="1:9" x14ac:dyDescent="0.2">
      <c r="A250" t="s">
        <v>9</v>
      </c>
      <c r="B250" s="4">
        <v>45646</v>
      </c>
      <c r="C250" s="8">
        <v>11.04</v>
      </c>
      <c r="D250" s="8">
        <v>11.44</v>
      </c>
      <c r="E250" s="8">
        <v>10.99</v>
      </c>
      <c r="F250" s="8">
        <v>11.35</v>
      </c>
      <c r="G250" s="3">
        <v>987194</v>
      </c>
      <c r="H250" s="3"/>
      <c r="I250" s="3"/>
    </row>
    <row r="251" spans="1:9" x14ac:dyDescent="0.2">
      <c r="A251" t="s">
        <v>9</v>
      </c>
      <c r="B251" s="4">
        <v>45649</v>
      </c>
      <c r="C251" s="8">
        <v>11.44</v>
      </c>
      <c r="D251" s="8">
        <v>11.5</v>
      </c>
      <c r="E251" s="8">
        <v>11.27</v>
      </c>
      <c r="F251" s="8">
        <v>11.39</v>
      </c>
      <c r="G251" s="3">
        <v>269142</v>
      </c>
      <c r="H251" s="3"/>
      <c r="I251" s="3"/>
    </row>
    <row r="252" spans="1:9" x14ac:dyDescent="0.2">
      <c r="A252" t="s">
        <v>9</v>
      </c>
      <c r="B252" s="4">
        <v>45650</v>
      </c>
      <c r="C252" s="8">
        <v>11.45</v>
      </c>
      <c r="D252" s="8">
        <v>11.56</v>
      </c>
      <c r="E252" s="8">
        <v>11.29</v>
      </c>
      <c r="F252" s="8">
        <v>11.56</v>
      </c>
      <c r="G252" s="3">
        <v>93282</v>
      </c>
      <c r="H252" s="3"/>
      <c r="I252" s="3"/>
    </row>
    <row r="253" spans="1:9" x14ac:dyDescent="0.2">
      <c r="A253" t="s">
        <v>9</v>
      </c>
      <c r="B253" s="4">
        <v>45653</v>
      </c>
      <c r="C253" s="8">
        <v>11.5</v>
      </c>
      <c r="D253" s="8">
        <v>11.57</v>
      </c>
      <c r="E253" s="8">
        <v>11.43</v>
      </c>
      <c r="F253" s="8">
        <v>11.55</v>
      </c>
      <c r="G253" s="3">
        <v>197122</v>
      </c>
      <c r="H253" s="3"/>
      <c r="I253" s="3"/>
    </row>
    <row r="254" spans="1:9" x14ac:dyDescent="0.2">
      <c r="A254" t="s">
        <v>9</v>
      </c>
      <c r="B254" s="4">
        <v>45656</v>
      </c>
      <c r="C254" s="8">
        <v>11.5</v>
      </c>
      <c r="D254" s="8">
        <v>11.58</v>
      </c>
      <c r="E254" s="8">
        <v>11.38</v>
      </c>
      <c r="F254" s="8">
        <v>11.57</v>
      </c>
      <c r="G254" s="3">
        <v>253683</v>
      </c>
      <c r="H254" s="3"/>
      <c r="I254" s="3"/>
    </row>
    <row r="255" spans="1:9" x14ac:dyDescent="0.2">
      <c r="A255" t="s">
        <v>9</v>
      </c>
      <c r="B255" s="4">
        <v>45657</v>
      </c>
      <c r="C255" s="8">
        <v>11.57</v>
      </c>
      <c r="D255" s="8">
        <v>11.57</v>
      </c>
      <c r="E255" s="8">
        <v>11.43</v>
      </c>
      <c r="F255" s="8">
        <v>11.57</v>
      </c>
      <c r="G255" s="3">
        <v>48376</v>
      </c>
      <c r="H255" s="3"/>
      <c r="I255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CD78-88A3-384B-8DC9-D36BD1A39A0B}">
  <dimension ref="A1:V255"/>
  <sheetViews>
    <sheetView topLeftCell="E27" zoomScale="70" zoomScaleNormal="70" workbookViewId="0">
      <selection activeCell="J2" sqref="J2"/>
    </sheetView>
  </sheetViews>
  <sheetFormatPr defaultColWidth="11.42578125" defaultRowHeight="12.75" x14ac:dyDescent="0.2"/>
  <cols>
    <col min="1" max="1" width="19" style="4" customWidth="1"/>
    <col min="2" max="5" width="19" style="9" customWidth="1"/>
    <col min="6" max="6" width="18" customWidth="1"/>
    <col min="7" max="7" width="10.85546875" style="8"/>
    <col min="16" max="16" width="15.42578125" customWidth="1"/>
    <col min="17" max="17" width="12.42578125" customWidth="1"/>
    <col min="18" max="18" width="9" customWidth="1"/>
  </cols>
  <sheetData>
    <row r="1" spans="1:22" ht="15" x14ac:dyDescent="0.25">
      <c r="A1" s="5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5" t="s">
        <v>1</v>
      </c>
      <c r="G1" s="7" t="s">
        <v>5</v>
      </c>
      <c r="L1" s="55">
        <v>1000</v>
      </c>
      <c r="M1" s="59" t="s">
        <v>10</v>
      </c>
      <c r="N1" s="59" t="s">
        <v>11</v>
      </c>
      <c r="O1" s="59" t="s">
        <v>12</v>
      </c>
      <c r="P1" s="59" t="s">
        <v>13</v>
      </c>
      <c r="Q1" s="59" t="s">
        <v>14</v>
      </c>
      <c r="R1" s="59" t="s">
        <v>16</v>
      </c>
      <c r="S1" s="59" t="s">
        <v>15</v>
      </c>
      <c r="T1" s="56" t="s">
        <v>17</v>
      </c>
      <c r="V1" s="53"/>
    </row>
    <row r="2" spans="1:22" x14ac:dyDescent="0.2">
      <c r="A2" s="4">
        <v>45293</v>
      </c>
      <c r="B2" s="8">
        <v>9.34</v>
      </c>
      <c r="C2" s="8">
        <v>9.3699999999999992</v>
      </c>
      <c r="D2" s="8">
        <v>9.2799999999999994</v>
      </c>
      <c r="E2" s="8">
        <v>9.2799999999999994</v>
      </c>
      <c r="F2" s="4">
        <v>45293</v>
      </c>
      <c r="G2" s="8">
        <v>9.2799999999999994</v>
      </c>
      <c r="L2" s="57"/>
      <c r="M2" s="60">
        <v>45323</v>
      </c>
      <c r="N2" s="61">
        <v>9.2799999999999994</v>
      </c>
      <c r="O2" s="62">
        <v>107</v>
      </c>
      <c r="P2" s="63">
        <f>O2*N2</f>
        <v>992.95999999999992</v>
      </c>
      <c r="Q2" s="64">
        <f>1000-P2</f>
        <v>7.0400000000000773</v>
      </c>
      <c r="R2" s="64">
        <f>0.0651+0.1209</f>
        <v>0.186</v>
      </c>
      <c r="S2" s="63">
        <v>1000</v>
      </c>
      <c r="T2" s="58">
        <f>S2/1000</f>
        <v>1</v>
      </c>
      <c r="V2" s="50"/>
    </row>
    <row r="3" spans="1:22" ht="13.5" thickBot="1" x14ac:dyDescent="0.25">
      <c r="A3" s="4">
        <v>45294</v>
      </c>
      <c r="B3" s="8">
        <v>9.31</v>
      </c>
      <c r="C3" s="8">
        <v>9.36</v>
      </c>
      <c r="D3" s="8">
        <v>9.23</v>
      </c>
      <c r="E3" s="8">
        <v>9.3000000000000007</v>
      </c>
      <c r="F3" s="4">
        <v>45294</v>
      </c>
      <c r="G3" s="8">
        <v>9.3000000000000007</v>
      </c>
      <c r="L3" s="54"/>
      <c r="M3" s="65">
        <v>45594</v>
      </c>
      <c r="N3" s="66">
        <v>11.97</v>
      </c>
      <c r="O3" s="67">
        <v>107</v>
      </c>
      <c r="P3" s="66">
        <f>O3*N3</f>
        <v>1280.79</v>
      </c>
      <c r="Q3" s="66">
        <f>Q2</f>
        <v>7.0400000000000773</v>
      </c>
      <c r="R3" s="66">
        <f>R2*O3</f>
        <v>19.902000000000001</v>
      </c>
      <c r="S3" s="66">
        <f>Q3+P3+R3</f>
        <v>1307.732</v>
      </c>
      <c r="T3" s="68">
        <f>S3/1000</f>
        <v>1.3077319999999999</v>
      </c>
    </row>
    <row r="4" spans="1:22" x14ac:dyDescent="0.2">
      <c r="A4" s="4">
        <v>45295</v>
      </c>
      <c r="B4" s="8">
        <v>9.3000000000000007</v>
      </c>
      <c r="C4" s="8">
        <v>9.69</v>
      </c>
      <c r="D4" s="8">
        <v>9.3000000000000007</v>
      </c>
      <c r="E4" s="8">
        <v>9.69</v>
      </c>
      <c r="F4" s="4">
        <v>45295</v>
      </c>
      <c r="G4" s="8">
        <v>9.69</v>
      </c>
    </row>
    <row r="5" spans="1:22" x14ac:dyDescent="0.2">
      <c r="A5" s="4">
        <v>45296</v>
      </c>
      <c r="B5" s="8">
        <v>9.69</v>
      </c>
      <c r="C5" s="8">
        <v>9.69</v>
      </c>
      <c r="D5" s="8">
        <v>9.32</v>
      </c>
      <c r="E5" s="8">
        <v>9.34</v>
      </c>
      <c r="F5" s="4">
        <v>45296</v>
      </c>
      <c r="G5" s="8">
        <v>9.34</v>
      </c>
    </row>
    <row r="6" spans="1:22" x14ac:dyDescent="0.2">
      <c r="A6" s="4">
        <v>45299</v>
      </c>
      <c r="B6" s="8">
        <v>9.48</v>
      </c>
      <c r="C6" s="8">
        <v>9.5299999999999994</v>
      </c>
      <c r="D6" s="8">
        <v>9.36</v>
      </c>
      <c r="E6" s="8">
        <v>9.5299999999999994</v>
      </c>
      <c r="F6" s="4">
        <v>45299</v>
      </c>
      <c r="G6" s="8">
        <v>9.5299999999999994</v>
      </c>
      <c r="J6" s="6"/>
      <c r="K6" s="4"/>
    </row>
    <row r="7" spans="1:22" x14ac:dyDescent="0.2">
      <c r="A7" s="4">
        <v>45300</v>
      </c>
      <c r="B7" s="8">
        <v>9.57</v>
      </c>
      <c r="C7" s="8">
        <v>9.57</v>
      </c>
      <c r="D7" s="8">
        <v>9.42</v>
      </c>
      <c r="E7" s="8">
        <v>9.51</v>
      </c>
      <c r="F7" s="4">
        <v>45300</v>
      </c>
      <c r="G7" s="8">
        <v>9.51</v>
      </c>
    </row>
    <row r="8" spans="1:22" x14ac:dyDescent="0.2">
      <c r="A8" s="4">
        <v>45301</v>
      </c>
      <c r="B8" s="8">
        <v>9.4499999999999993</v>
      </c>
      <c r="C8" s="8">
        <v>9.51</v>
      </c>
      <c r="D8" s="8">
        <v>9.3800000000000008</v>
      </c>
      <c r="E8" s="8">
        <v>9.4700000000000006</v>
      </c>
      <c r="F8" s="4">
        <v>45301</v>
      </c>
      <c r="G8" s="8">
        <v>9.4700000000000006</v>
      </c>
    </row>
    <row r="9" spans="1:22" x14ac:dyDescent="0.2">
      <c r="A9" s="4">
        <v>45302</v>
      </c>
      <c r="B9" s="8">
        <v>9.49</v>
      </c>
      <c r="C9" s="8">
        <v>9.52</v>
      </c>
      <c r="D9" s="8">
        <v>9.4</v>
      </c>
      <c r="E9" s="8">
        <v>9.52</v>
      </c>
      <c r="F9" s="4">
        <v>45302</v>
      </c>
      <c r="G9" s="8">
        <v>9.52</v>
      </c>
    </row>
    <row r="10" spans="1:22" x14ac:dyDescent="0.2">
      <c r="A10" s="4">
        <v>45303</v>
      </c>
      <c r="B10" s="8">
        <v>9.6</v>
      </c>
      <c r="C10" s="8">
        <v>9.6</v>
      </c>
      <c r="D10" s="8">
        <v>9.44</v>
      </c>
      <c r="E10" s="8">
        <v>9.5500000000000007</v>
      </c>
      <c r="F10" s="4">
        <v>45303</v>
      </c>
      <c r="G10" s="8">
        <v>9.5500000000000007</v>
      </c>
    </row>
    <row r="11" spans="1:22" x14ac:dyDescent="0.2">
      <c r="A11" s="4">
        <v>45306</v>
      </c>
      <c r="B11" s="8">
        <v>9.6</v>
      </c>
      <c r="C11" s="8">
        <v>9.6</v>
      </c>
      <c r="D11" s="8">
        <v>9.41</v>
      </c>
      <c r="E11" s="8">
        <v>9.4499999999999993</v>
      </c>
      <c r="F11" s="4">
        <v>45306</v>
      </c>
      <c r="G11" s="8">
        <v>9.4499999999999993</v>
      </c>
    </row>
    <row r="12" spans="1:22" x14ac:dyDescent="0.2">
      <c r="A12" s="4">
        <v>45307</v>
      </c>
      <c r="B12" s="8">
        <v>9.4600000000000009</v>
      </c>
      <c r="C12" s="8">
        <v>9.5399999999999991</v>
      </c>
      <c r="D12" s="8">
        <v>9.4</v>
      </c>
      <c r="E12" s="8">
        <v>9.48</v>
      </c>
      <c r="F12" s="4">
        <v>45307</v>
      </c>
      <c r="G12" s="8">
        <v>9.48</v>
      </c>
    </row>
    <row r="13" spans="1:22" x14ac:dyDescent="0.2">
      <c r="A13" s="4">
        <v>45308</v>
      </c>
      <c r="B13" s="8">
        <v>9.4600000000000009</v>
      </c>
      <c r="C13" s="8">
        <v>9.6</v>
      </c>
      <c r="D13" s="8">
        <v>9.36</v>
      </c>
      <c r="E13" s="8">
        <v>9.36</v>
      </c>
      <c r="F13" s="4">
        <v>45308</v>
      </c>
      <c r="G13" s="8">
        <v>9.36</v>
      </c>
    </row>
    <row r="14" spans="1:22" x14ac:dyDescent="0.2">
      <c r="A14" s="4">
        <v>45309</v>
      </c>
      <c r="B14" s="8">
        <v>9.5</v>
      </c>
      <c r="C14" s="8">
        <v>9.61</v>
      </c>
      <c r="D14" s="8">
        <v>9.5</v>
      </c>
      <c r="E14" s="8">
        <v>9.56</v>
      </c>
      <c r="F14" s="4">
        <v>45309</v>
      </c>
      <c r="G14" s="8">
        <v>9.56</v>
      </c>
    </row>
    <row r="15" spans="1:22" x14ac:dyDescent="0.2">
      <c r="A15" s="4">
        <v>45310</v>
      </c>
      <c r="B15" s="8">
        <v>9.5500000000000007</v>
      </c>
      <c r="C15" s="8">
        <v>9.5500000000000007</v>
      </c>
      <c r="D15" s="8">
        <v>9.3699999999999992</v>
      </c>
      <c r="E15" s="8">
        <v>9.4</v>
      </c>
      <c r="F15" s="4">
        <v>45310</v>
      </c>
      <c r="G15" s="8">
        <v>9.4</v>
      </c>
    </row>
    <row r="16" spans="1:22" x14ac:dyDescent="0.2">
      <c r="A16" s="4">
        <v>45313</v>
      </c>
      <c r="B16" s="8">
        <v>9.5</v>
      </c>
      <c r="C16" s="8">
        <v>9.5500000000000007</v>
      </c>
      <c r="D16" s="8">
        <v>9.3699999999999992</v>
      </c>
      <c r="E16" s="8">
        <v>9.5299999999999994</v>
      </c>
      <c r="F16" s="4">
        <v>45313</v>
      </c>
      <c r="G16" s="8">
        <v>9.5299999999999994</v>
      </c>
    </row>
    <row r="17" spans="1:7" x14ac:dyDescent="0.2">
      <c r="A17" s="4">
        <v>45314</v>
      </c>
      <c r="B17" s="8">
        <v>9.5299999999999994</v>
      </c>
      <c r="C17" s="8">
        <v>9.7200000000000006</v>
      </c>
      <c r="D17" s="8">
        <v>9.48</v>
      </c>
      <c r="E17" s="8">
        <v>9.65</v>
      </c>
      <c r="F17" s="4">
        <v>45314</v>
      </c>
      <c r="G17" s="8">
        <v>9.65</v>
      </c>
    </row>
    <row r="18" spans="1:7" x14ac:dyDescent="0.2">
      <c r="A18" s="4">
        <v>45315</v>
      </c>
      <c r="B18" s="8">
        <v>9.65</v>
      </c>
      <c r="C18" s="8">
        <v>9.7100000000000009</v>
      </c>
      <c r="D18" s="8">
        <v>9.6</v>
      </c>
      <c r="E18" s="8">
        <v>9.6</v>
      </c>
      <c r="F18" s="4">
        <v>45315</v>
      </c>
      <c r="G18" s="8">
        <v>9.6</v>
      </c>
    </row>
    <row r="19" spans="1:7" x14ac:dyDescent="0.2">
      <c r="A19" s="4">
        <v>45316</v>
      </c>
      <c r="B19" s="8">
        <v>9.6300000000000008</v>
      </c>
      <c r="C19" s="8">
        <v>9.94</v>
      </c>
      <c r="D19" s="8">
        <v>9.6300000000000008</v>
      </c>
      <c r="E19" s="8">
        <v>9.64</v>
      </c>
      <c r="F19" s="4">
        <v>45316</v>
      </c>
      <c r="G19" s="8">
        <v>9.64</v>
      </c>
    </row>
    <row r="20" spans="1:7" x14ac:dyDescent="0.2">
      <c r="A20" s="4">
        <v>45320</v>
      </c>
      <c r="B20" s="8">
        <v>9.7200000000000006</v>
      </c>
      <c r="C20" s="8">
        <v>10.23</v>
      </c>
      <c r="D20" s="8">
        <v>9.7200000000000006</v>
      </c>
      <c r="E20" s="8">
        <v>10.09</v>
      </c>
      <c r="F20" s="4">
        <v>45320</v>
      </c>
      <c r="G20" s="8">
        <v>10.09</v>
      </c>
    </row>
    <row r="21" spans="1:7" x14ac:dyDescent="0.2">
      <c r="A21" s="4">
        <v>45321</v>
      </c>
      <c r="B21" s="8">
        <v>10.16</v>
      </c>
      <c r="C21" s="8">
        <v>10.16</v>
      </c>
      <c r="D21" s="8">
        <v>9.9</v>
      </c>
      <c r="E21" s="8">
        <v>9.9700000000000006</v>
      </c>
      <c r="F21" s="4">
        <v>45321</v>
      </c>
      <c r="G21" s="8">
        <v>9.9700000000000006</v>
      </c>
    </row>
    <row r="22" spans="1:7" x14ac:dyDescent="0.2">
      <c r="A22" s="4">
        <v>45322</v>
      </c>
      <c r="B22" s="8">
        <v>9.98</v>
      </c>
      <c r="C22" s="8">
        <v>9.98</v>
      </c>
      <c r="D22" s="8">
        <v>9.81</v>
      </c>
      <c r="E22" s="8">
        <v>9.8800000000000008</v>
      </c>
      <c r="F22" s="4">
        <v>45322</v>
      </c>
      <c r="G22" s="8">
        <v>9.8800000000000008</v>
      </c>
    </row>
    <row r="23" spans="1:7" x14ac:dyDescent="0.2">
      <c r="A23" s="4">
        <v>45323</v>
      </c>
      <c r="B23" s="8">
        <v>9.92</v>
      </c>
      <c r="C23" s="8">
        <v>10</v>
      </c>
      <c r="D23" s="8">
        <v>9.77</v>
      </c>
      <c r="E23" s="8">
        <v>9.9499999999999993</v>
      </c>
      <c r="F23" s="4">
        <v>45323</v>
      </c>
      <c r="G23" s="8">
        <v>9.9499999999999993</v>
      </c>
    </row>
    <row r="24" spans="1:7" x14ac:dyDescent="0.2">
      <c r="A24" s="4">
        <v>45324</v>
      </c>
      <c r="B24" s="8">
        <v>10.15</v>
      </c>
      <c r="C24" s="8">
        <v>10.15</v>
      </c>
      <c r="D24" s="8">
        <v>9.81</v>
      </c>
      <c r="E24" s="8">
        <v>9.8699999999999992</v>
      </c>
      <c r="F24" s="4">
        <v>45324</v>
      </c>
      <c r="G24" s="8">
        <v>9.8699999999999992</v>
      </c>
    </row>
    <row r="25" spans="1:7" x14ac:dyDescent="0.2">
      <c r="A25" s="4">
        <v>45327</v>
      </c>
      <c r="B25" s="8">
        <v>9.93</v>
      </c>
      <c r="C25" s="8">
        <v>9.93</v>
      </c>
      <c r="D25" s="8">
        <v>9.77</v>
      </c>
      <c r="E25" s="8">
        <v>9.92</v>
      </c>
      <c r="F25" s="4">
        <v>45327</v>
      </c>
      <c r="G25" s="8">
        <v>9.92</v>
      </c>
    </row>
    <row r="26" spans="1:7" x14ac:dyDescent="0.2">
      <c r="A26" s="4">
        <v>45328</v>
      </c>
      <c r="B26" s="8">
        <v>9.93</v>
      </c>
      <c r="C26" s="8">
        <v>9.93</v>
      </c>
      <c r="D26" s="8">
        <v>9.85</v>
      </c>
      <c r="E26" s="8">
        <v>9.92</v>
      </c>
      <c r="F26" s="4">
        <v>45328</v>
      </c>
      <c r="G26" s="8">
        <v>9.92</v>
      </c>
    </row>
    <row r="27" spans="1:7" x14ac:dyDescent="0.2">
      <c r="A27" s="4">
        <v>45329</v>
      </c>
      <c r="B27" s="8">
        <v>9.89</v>
      </c>
      <c r="C27" s="8">
        <v>9.9849999999999994</v>
      </c>
      <c r="D27" s="8">
        <v>9.8800000000000008</v>
      </c>
      <c r="E27" s="8">
        <v>9.93</v>
      </c>
      <c r="F27" s="4">
        <v>45329</v>
      </c>
      <c r="G27" s="8">
        <v>9.93</v>
      </c>
    </row>
    <row r="28" spans="1:7" x14ac:dyDescent="0.2">
      <c r="A28" s="4">
        <v>45330</v>
      </c>
      <c r="B28" s="8">
        <v>10.029999999999999</v>
      </c>
      <c r="C28" s="8">
        <v>10.029999999999999</v>
      </c>
      <c r="D28" s="8">
        <v>9.77</v>
      </c>
      <c r="E28" s="8">
        <v>9.81</v>
      </c>
      <c r="F28" s="4">
        <v>45330</v>
      </c>
      <c r="G28" s="8">
        <v>9.81</v>
      </c>
    </row>
    <row r="29" spans="1:7" x14ac:dyDescent="0.2">
      <c r="A29" s="4">
        <v>45331</v>
      </c>
      <c r="B29" s="8">
        <v>9.83</v>
      </c>
      <c r="C29" s="8">
        <v>10.11</v>
      </c>
      <c r="D29" s="8">
        <v>9.76</v>
      </c>
      <c r="E29" s="8">
        <v>10.11</v>
      </c>
      <c r="F29" s="4">
        <v>45331</v>
      </c>
      <c r="G29" s="8">
        <v>10.11</v>
      </c>
    </row>
    <row r="30" spans="1:7" x14ac:dyDescent="0.2">
      <c r="A30" s="4">
        <v>45334</v>
      </c>
      <c r="B30" s="8">
        <v>10.18</v>
      </c>
      <c r="C30" s="8">
        <v>10.18</v>
      </c>
      <c r="D30" s="8">
        <v>9.84</v>
      </c>
      <c r="E30" s="8">
        <v>9.8699999999999992</v>
      </c>
      <c r="F30" s="4">
        <v>45334</v>
      </c>
      <c r="G30" s="8">
        <v>9.8699999999999992</v>
      </c>
    </row>
    <row r="31" spans="1:7" x14ac:dyDescent="0.2">
      <c r="A31" s="4">
        <v>45335</v>
      </c>
      <c r="B31" s="8">
        <v>9.91</v>
      </c>
      <c r="C31" s="8">
        <v>9.92</v>
      </c>
      <c r="D31" s="8">
        <v>9.77</v>
      </c>
      <c r="E31" s="8">
        <v>9.7799999999999994</v>
      </c>
      <c r="F31" s="4">
        <v>45335</v>
      </c>
      <c r="G31" s="8">
        <v>9.7799999999999994</v>
      </c>
    </row>
    <row r="32" spans="1:7" x14ac:dyDescent="0.2">
      <c r="A32" s="4">
        <v>45336</v>
      </c>
      <c r="B32" s="8">
        <v>9.8000000000000007</v>
      </c>
      <c r="C32" s="8">
        <v>9.8000000000000007</v>
      </c>
      <c r="D32" s="8">
        <v>9.57</v>
      </c>
      <c r="E32" s="8">
        <v>9.6300000000000008</v>
      </c>
      <c r="F32" s="4">
        <v>45336</v>
      </c>
      <c r="G32" s="8">
        <v>9.6300000000000008</v>
      </c>
    </row>
    <row r="33" spans="1:7" x14ac:dyDescent="0.2">
      <c r="A33" s="4">
        <v>45337</v>
      </c>
      <c r="B33" s="8">
        <v>9.68</v>
      </c>
      <c r="C33" s="8">
        <v>9.73</v>
      </c>
      <c r="D33" s="8">
        <v>9.57</v>
      </c>
      <c r="E33" s="8">
        <v>9.6300000000000008</v>
      </c>
      <c r="F33" s="4">
        <v>45337</v>
      </c>
      <c r="G33" s="8">
        <v>9.6300000000000008</v>
      </c>
    </row>
    <row r="34" spans="1:7" x14ac:dyDescent="0.2">
      <c r="A34" s="4">
        <v>45338</v>
      </c>
      <c r="B34" s="8">
        <v>9.6300000000000008</v>
      </c>
      <c r="C34" s="8">
        <v>9.8800000000000008</v>
      </c>
      <c r="D34" s="8">
        <v>9.57</v>
      </c>
      <c r="E34" s="8">
        <v>9.8000000000000007</v>
      </c>
      <c r="F34" s="4">
        <v>45338</v>
      </c>
      <c r="G34" s="8">
        <v>9.8000000000000007</v>
      </c>
    </row>
    <row r="35" spans="1:7" x14ac:dyDescent="0.2">
      <c r="A35" s="4">
        <v>45341</v>
      </c>
      <c r="B35" s="8">
        <v>9.7100000000000009</v>
      </c>
      <c r="C35" s="8">
        <v>9.7799999999999994</v>
      </c>
      <c r="D35" s="8">
        <v>9.5500000000000007</v>
      </c>
      <c r="E35" s="8">
        <v>9.5500000000000007</v>
      </c>
      <c r="F35" s="4">
        <v>45341</v>
      </c>
      <c r="G35" s="8">
        <v>9.5500000000000007</v>
      </c>
    </row>
    <row r="36" spans="1:7" x14ac:dyDescent="0.2">
      <c r="A36" s="4">
        <v>45342</v>
      </c>
      <c r="B36" s="8">
        <v>9.66</v>
      </c>
      <c r="C36" s="8">
        <v>9.7200000000000006</v>
      </c>
      <c r="D36" s="8">
        <v>9.66</v>
      </c>
      <c r="E36" s="8">
        <v>9.7200000000000006</v>
      </c>
      <c r="F36" s="4">
        <v>45342</v>
      </c>
      <c r="G36" s="8">
        <v>9.7200000000000006</v>
      </c>
    </row>
    <row r="37" spans="1:7" x14ac:dyDescent="0.2">
      <c r="A37" s="4">
        <v>45343</v>
      </c>
      <c r="B37" s="8">
        <v>9.76</v>
      </c>
      <c r="C37" s="8">
        <v>9.76</v>
      </c>
      <c r="D37" s="8">
        <v>9.5</v>
      </c>
      <c r="E37" s="8">
        <v>9.5</v>
      </c>
      <c r="F37" s="4">
        <v>45343</v>
      </c>
      <c r="G37" s="8">
        <v>9.5</v>
      </c>
    </row>
    <row r="38" spans="1:7" x14ac:dyDescent="0.2">
      <c r="A38" s="4">
        <v>45344</v>
      </c>
      <c r="B38" s="8">
        <v>9.6</v>
      </c>
      <c r="C38" s="8">
        <v>9.86</v>
      </c>
      <c r="D38" s="8">
        <v>9.6</v>
      </c>
      <c r="E38" s="8">
        <v>9.86</v>
      </c>
      <c r="F38" s="4">
        <v>45344</v>
      </c>
      <c r="G38" s="8">
        <v>9.86</v>
      </c>
    </row>
    <row r="39" spans="1:7" x14ac:dyDescent="0.2">
      <c r="A39" s="4">
        <v>45345</v>
      </c>
      <c r="B39" s="8">
        <v>9.82</v>
      </c>
      <c r="C39" s="8">
        <v>9.82</v>
      </c>
      <c r="D39" s="8">
        <v>9.64</v>
      </c>
      <c r="E39" s="8">
        <v>9.67</v>
      </c>
      <c r="F39" s="4">
        <v>45345</v>
      </c>
      <c r="G39" s="8">
        <v>9.67</v>
      </c>
    </row>
    <row r="40" spans="1:7" x14ac:dyDescent="0.2">
      <c r="A40" s="4">
        <v>45348</v>
      </c>
      <c r="B40" s="8">
        <v>9.7799999999999994</v>
      </c>
      <c r="C40" s="8">
        <v>9.7799999999999994</v>
      </c>
      <c r="D40" s="8">
        <v>9.5</v>
      </c>
      <c r="E40" s="8">
        <v>9.6300000000000008</v>
      </c>
      <c r="F40" s="4">
        <v>45348</v>
      </c>
      <c r="G40" s="8">
        <v>9.6300000000000008</v>
      </c>
    </row>
    <row r="41" spans="1:7" x14ac:dyDescent="0.2">
      <c r="A41" s="4">
        <v>45349</v>
      </c>
      <c r="B41" s="8">
        <v>9.6</v>
      </c>
      <c r="C41" s="8">
        <v>9.6199999999999992</v>
      </c>
      <c r="D41" s="8">
        <v>9.5</v>
      </c>
      <c r="E41" s="8">
        <v>9.52</v>
      </c>
      <c r="F41" s="4">
        <v>45349</v>
      </c>
      <c r="G41" s="8">
        <v>9.52</v>
      </c>
    </row>
    <row r="42" spans="1:7" x14ac:dyDescent="0.2">
      <c r="A42" s="4">
        <v>45350</v>
      </c>
      <c r="B42" s="8">
        <v>9.52</v>
      </c>
      <c r="C42" s="8">
        <v>9.7200000000000006</v>
      </c>
      <c r="D42" s="8">
        <v>9.52</v>
      </c>
      <c r="E42" s="8">
        <v>9.66</v>
      </c>
      <c r="F42" s="4">
        <v>45350</v>
      </c>
      <c r="G42" s="8">
        <v>9.66</v>
      </c>
    </row>
    <row r="43" spans="1:7" x14ac:dyDescent="0.2">
      <c r="A43" s="4">
        <v>45351</v>
      </c>
      <c r="B43" s="8">
        <v>9.58</v>
      </c>
      <c r="C43" s="8">
        <v>9.73</v>
      </c>
      <c r="D43" s="8">
        <v>9.5500000000000007</v>
      </c>
      <c r="E43" s="8">
        <v>9.7200000000000006</v>
      </c>
      <c r="F43" s="4">
        <v>45351</v>
      </c>
      <c r="G43" s="8">
        <v>9.7200000000000006</v>
      </c>
    </row>
    <row r="44" spans="1:7" x14ac:dyDescent="0.2">
      <c r="A44" s="4">
        <v>45352</v>
      </c>
      <c r="B44" s="8">
        <v>9.7200000000000006</v>
      </c>
      <c r="C44" s="8">
        <v>9.73</v>
      </c>
      <c r="D44" s="8">
        <v>9.6</v>
      </c>
      <c r="E44" s="8">
        <v>9.6199999999999992</v>
      </c>
      <c r="F44" s="4">
        <v>45352</v>
      </c>
      <c r="G44" s="8">
        <v>9.6199999999999992</v>
      </c>
    </row>
    <row r="45" spans="1:7" x14ac:dyDescent="0.2">
      <c r="A45" s="4">
        <v>45355</v>
      </c>
      <c r="B45" s="8">
        <v>9.7799999999999994</v>
      </c>
      <c r="C45" s="8">
        <v>9.7799999999999994</v>
      </c>
      <c r="D45" s="8">
        <v>9.5500000000000007</v>
      </c>
      <c r="E45" s="8">
        <v>9.7100000000000009</v>
      </c>
      <c r="F45" s="4">
        <v>45355</v>
      </c>
      <c r="G45" s="8">
        <v>9.7100000000000009</v>
      </c>
    </row>
    <row r="46" spans="1:7" x14ac:dyDescent="0.2">
      <c r="A46" s="4">
        <v>45356</v>
      </c>
      <c r="B46" s="8">
        <v>9.67</v>
      </c>
      <c r="C46" s="8">
        <v>9.75</v>
      </c>
      <c r="D46" s="8">
        <v>9.52</v>
      </c>
      <c r="E46" s="8">
        <v>9.58</v>
      </c>
      <c r="F46" s="4">
        <v>45356</v>
      </c>
      <c r="G46" s="8">
        <v>9.58</v>
      </c>
    </row>
    <row r="47" spans="1:7" x14ac:dyDescent="0.2">
      <c r="A47" s="4">
        <v>45357</v>
      </c>
      <c r="B47" s="8">
        <v>9.65</v>
      </c>
      <c r="C47" s="8">
        <v>9.9</v>
      </c>
      <c r="D47" s="8">
        <v>9.61</v>
      </c>
      <c r="E47" s="8">
        <v>9.9</v>
      </c>
      <c r="F47" s="4">
        <v>45357</v>
      </c>
      <c r="G47" s="8">
        <v>9.9</v>
      </c>
    </row>
    <row r="48" spans="1:7" x14ac:dyDescent="0.2">
      <c r="A48" s="4">
        <v>45358</v>
      </c>
      <c r="B48" s="8">
        <v>9.9499999999999993</v>
      </c>
      <c r="C48" s="8">
        <v>9.9499999999999993</v>
      </c>
      <c r="D48" s="8">
        <v>9.81</v>
      </c>
      <c r="E48" s="8">
        <v>9.81</v>
      </c>
      <c r="F48" s="4">
        <v>45358</v>
      </c>
      <c r="G48" s="8">
        <v>9.81</v>
      </c>
    </row>
    <row r="49" spans="1:7" x14ac:dyDescent="0.2">
      <c r="A49" s="4">
        <v>45359</v>
      </c>
      <c r="B49" s="8">
        <v>9.82</v>
      </c>
      <c r="C49" s="8">
        <v>9.9600000000000009</v>
      </c>
      <c r="D49" s="8">
        <v>9.7799999999999994</v>
      </c>
      <c r="E49" s="8">
        <v>9.92</v>
      </c>
      <c r="F49" s="4">
        <v>45359</v>
      </c>
      <c r="G49" s="8">
        <v>9.92</v>
      </c>
    </row>
    <row r="50" spans="1:7" x14ac:dyDescent="0.2">
      <c r="A50" s="4">
        <v>45362</v>
      </c>
      <c r="B50" s="8">
        <v>9.8800000000000008</v>
      </c>
      <c r="C50" s="8">
        <v>9.9600000000000009</v>
      </c>
      <c r="D50" s="8">
        <v>9.7899999999999991</v>
      </c>
      <c r="E50" s="8">
        <v>9.9600000000000009</v>
      </c>
      <c r="F50" s="4">
        <v>45362</v>
      </c>
      <c r="G50" s="8">
        <v>9.9600000000000009</v>
      </c>
    </row>
    <row r="51" spans="1:7" x14ac:dyDescent="0.2">
      <c r="A51" s="4">
        <v>45363</v>
      </c>
      <c r="B51" s="8">
        <v>9.9600000000000009</v>
      </c>
      <c r="C51" s="8">
        <v>9.9600000000000009</v>
      </c>
      <c r="D51" s="8">
        <v>9.75</v>
      </c>
      <c r="E51" s="8">
        <v>9.75</v>
      </c>
      <c r="F51" s="4">
        <v>45363</v>
      </c>
      <c r="G51" s="8">
        <v>9.75</v>
      </c>
    </row>
    <row r="52" spans="1:7" x14ac:dyDescent="0.2">
      <c r="A52" s="4">
        <v>45364</v>
      </c>
      <c r="B52" s="8">
        <v>9.77</v>
      </c>
      <c r="C52" s="8">
        <v>9.9700000000000006</v>
      </c>
      <c r="D52" s="8">
        <v>9.77</v>
      </c>
      <c r="E52" s="8">
        <v>9.9700000000000006</v>
      </c>
      <c r="F52" s="4">
        <v>45364</v>
      </c>
      <c r="G52" s="8">
        <v>9.9700000000000006</v>
      </c>
    </row>
    <row r="53" spans="1:7" x14ac:dyDescent="0.2">
      <c r="A53" s="4">
        <v>45365</v>
      </c>
      <c r="B53" s="8">
        <v>9.98</v>
      </c>
      <c r="C53" s="8">
        <v>10</v>
      </c>
      <c r="D53" s="8">
        <v>9.73</v>
      </c>
      <c r="E53" s="8">
        <v>9.9600000000000009</v>
      </c>
      <c r="F53" s="4">
        <v>45365</v>
      </c>
      <c r="G53" s="8">
        <v>9.9600000000000009</v>
      </c>
    </row>
    <row r="54" spans="1:7" x14ac:dyDescent="0.2">
      <c r="A54" s="4">
        <v>45366</v>
      </c>
      <c r="B54" s="8">
        <v>9.9600000000000009</v>
      </c>
      <c r="C54" s="8">
        <v>9.9600000000000009</v>
      </c>
      <c r="D54" s="8">
        <v>9.69</v>
      </c>
      <c r="E54" s="8">
        <v>9.7100000000000009</v>
      </c>
      <c r="F54" s="4">
        <v>45366</v>
      </c>
      <c r="G54" s="8">
        <v>9.7100000000000009</v>
      </c>
    </row>
    <row r="55" spans="1:7" x14ac:dyDescent="0.2">
      <c r="A55" s="4">
        <v>45369</v>
      </c>
      <c r="B55" s="8">
        <v>9.76</v>
      </c>
      <c r="C55" s="8">
        <v>9.84</v>
      </c>
      <c r="D55" s="8">
        <v>9.73</v>
      </c>
      <c r="E55" s="8">
        <v>9.81</v>
      </c>
      <c r="F55" s="4">
        <v>45369</v>
      </c>
      <c r="G55" s="8">
        <v>9.81</v>
      </c>
    </row>
    <row r="56" spans="1:7" x14ac:dyDescent="0.2">
      <c r="A56" s="4">
        <v>45370</v>
      </c>
      <c r="B56" s="8">
        <v>9.83</v>
      </c>
      <c r="C56" s="8">
        <v>9.83</v>
      </c>
      <c r="D56" s="8">
        <v>9.73</v>
      </c>
      <c r="E56" s="8">
        <v>9.75</v>
      </c>
      <c r="F56" s="4">
        <v>45370</v>
      </c>
      <c r="G56" s="8">
        <v>9.75</v>
      </c>
    </row>
    <row r="57" spans="1:7" x14ac:dyDescent="0.2">
      <c r="A57" s="4">
        <v>45371</v>
      </c>
      <c r="B57" s="8">
        <v>9.8000000000000007</v>
      </c>
      <c r="C57" s="8">
        <v>9.9350000000000005</v>
      </c>
      <c r="D57" s="8">
        <v>9.8000000000000007</v>
      </c>
      <c r="E57" s="8">
        <v>9.8800000000000008</v>
      </c>
      <c r="F57" s="4">
        <v>45371</v>
      </c>
      <c r="G57" s="8">
        <v>9.8800000000000008</v>
      </c>
    </row>
    <row r="58" spans="1:7" x14ac:dyDescent="0.2">
      <c r="A58" s="4">
        <v>45372</v>
      </c>
      <c r="B58" s="8">
        <v>9.8000000000000007</v>
      </c>
      <c r="C58" s="8">
        <v>9.86</v>
      </c>
      <c r="D58" s="8">
        <v>9.76</v>
      </c>
      <c r="E58" s="8">
        <v>9.77</v>
      </c>
      <c r="F58" s="4">
        <v>45372</v>
      </c>
      <c r="G58" s="8">
        <v>9.77</v>
      </c>
    </row>
    <row r="59" spans="1:7" x14ac:dyDescent="0.2">
      <c r="A59" s="4">
        <v>45373</v>
      </c>
      <c r="B59" s="8">
        <v>9.77</v>
      </c>
      <c r="C59" s="8">
        <v>9.85</v>
      </c>
      <c r="D59" s="8">
        <v>9.76</v>
      </c>
      <c r="E59" s="8">
        <v>9.84</v>
      </c>
      <c r="F59" s="4">
        <v>45373</v>
      </c>
      <c r="G59" s="8">
        <v>9.84</v>
      </c>
    </row>
    <row r="60" spans="1:7" x14ac:dyDescent="0.2">
      <c r="A60" s="4">
        <v>45376</v>
      </c>
      <c r="B60" s="8">
        <v>9.8800000000000008</v>
      </c>
      <c r="C60" s="8">
        <v>9.9700000000000006</v>
      </c>
      <c r="D60" s="8">
        <v>9.74</v>
      </c>
      <c r="E60" s="8">
        <v>9.85</v>
      </c>
      <c r="F60" s="4">
        <v>45376</v>
      </c>
      <c r="G60" s="8">
        <v>9.85</v>
      </c>
    </row>
    <row r="61" spans="1:7" x14ac:dyDescent="0.2">
      <c r="A61" s="4">
        <v>45377</v>
      </c>
      <c r="B61" s="8">
        <v>9.8699999999999992</v>
      </c>
      <c r="C61" s="8">
        <v>10.050000000000001</v>
      </c>
      <c r="D61" s="8">
        <v>9.83</v>
      </c>
      <c r="E61" s="8">
        <v>10.01</v>
      </c>
      <c r="F61" s="4">
        <v>45377</v>
      </c>
      <c r="G61" s="8">
        <v>10.01</v>
      </c>
    </row>
    <row r="62" spans="1:7" x14ac:dyDescent="0.2">
      <c r="A62" s="4">
        <v>45378</v>
      </c>
      <c r="B62" s="8">
        <v>9.9600000000000009</v>
      </c>
      <c r="C62" s="8">
        <v>10.07</v>
      </c>
      <c r="D62" s="8">
        <v>9.8699999999999992</v>
      </c>
      <c r="E62" s="8">
        <v>9.8699999999999992</v>
      </c>
      <c r="F62" s="4">
        <v>45378</v>
      </c>
      <c r="G62" s="8">
        <v>9.8699999999999992</v>
      </c>
    </row>
    <row r="63" spans="1:7" x14ac:dyDescent="0.2">
      <c r="A63" s="4">
        <v>45379</v>
      </c>
      <c r="B63" s="8">
        <v>9.91</v>
      </c>
      <c r="C63" s="8">
        <v>10.07</v>
      </c>
      <c r="D63" s="8">
        <v>9.8000000000000007</v>
      </c>
      <c r="E63" s="8">
        <v>9.92</v>
      </c>
      <c r="F63" s="4">
        <v>45379</v>
      </c>
      <c r="G63" s="8">
        <v>9.92</v>
      </c>
    </row>
    <row r="64" spans="1:7" x14ac:dyDescent="0.2">
      <c r="A64" s="4">
        <v>45384</v>
      </c>
      <c r="B64" s="8">
        <v>9.9499999999999993</v>
      </c>
      <c r="C64" s="8">
        <v>10.08</v>
      </c>
      <c r="D64" s="8">
        <v>9.92</v>
      </c>
      <c r="E64" s="8">
        <v>9.9700000000000006</v>
      </c>
      <c r="F64" s="4">
        <v>45384</v>
      </c>
      <c r="G64" s="8">
        <v>9.9700000000000006</v>
      </c>
    </row>
    <row r="65" spans="1:7" x14ac:dyDescent="0.2">
      <c r="A65" s="4">
        <v>45385</v>
      </c>
      <c r="B65" s="8">
        <v>9.9700000000000006</v>
      </c>
      <c r="C65" s="8">
        <v>10.050000000000001</v>
      </c>
      <c r="D65" s="8">
        <v>9.93</v>
      </c>
      <c r="E65" s="8">
        <v>9.9700000000000006</v>
      </c>
      <c r="F65" s="4">
        <v>45385</v>
      </c>
      <c r="G65" s="8">
        <v>9.9700000000000006</v>
      </c>
    </row>
    <row r="66" spans="1:7" x14ac:dyDescent="0.2">
      <c r="A66" s="4">
        <v>45386</v>
      </c>
      <c r="B66" s="8">
        <v>10.039999999999999</v>
      </c>
      <c r="C66" s="8">
        <v>10.07</v>
      </c>
      <c r="D66" s="8">
        <v>9.98</v>
      </c>
      <c r="E66" s="8">
        <v>10.039999999999999</v>
      </c>
      <c r="F66" s="4">
        <v>45386</v>
      </c>
      <c r="G66" s="8">
        <v>10.039999999999999</v>
      </c>
    </row>
    <row r="67" spans="1:7" x14ac:dyDescent="0.2">
      <c r="A67" s="4">
        <v>45387</v>
      </c>
      <c r="B67" s="8">
        <v>10</v>
      </c>
      <c r="C67" s="8">
        <v>10</v>
      </c>
      <c r="D67" s="8">
        <v>9.8800000000000008</v>
      </c>
      <c r="E67" s="8">
        <v>9.98</v>
      </c>
      <c r="F67" s="4">
        <v>45387</v>
      </c>
      <c r="G67" s="8">
        <v>9.98</v>
      </c>
    </row>
    <row r="68" spans="1:7" x14ac:dyDescent="0.2">
      <c r="A68" s="4">
        <v>45390</v>
      </c>
      <c r="B68" s="8">
        <v>10.08</v>
      </c>
      <c r="C68" s="8">
        <v>10.08</v>
      </c>
      <c r="D68" s="8">
        <v>9.89</v>
      </c>
      <c r="E68" s="8">
        <v>10.050000000000001</v>
      </c>
      <c r="F68" s="4">
        <v>45390</v>
      </c>
      <c r="G68" s="8">
        <v>10.050000000000001</v>
      </c>
    </row>
    <row r="69" spans="1:7" x14ac:dyDescent="0.2">
      <c r="A69" s="4">
        <v>45391</v>
      </c>
      <c r="B69" s="8">
        <v>10.039999999999999</v>
      </c>
      <c r="C69" s="8">
        <v>10.039999999999999</v>
      </c>
      <c r="D69" s="8">
        <v>9.9600000000000009</v>
      </c>
      <c r="E69" s="8">
        <v>9.9700000000000006</v>
      </c>
      <c r="F69" s="4">
        <v>45391</v>
      </c>
      <c r="G69" s="8">
        <v>9.9700000000000006</v>
      </c>
    </row>
    <row r="70" spans="1:7" x14ac:dyDescent="0.2">
      <c r="A70" s="4">
        <v>45392</v>
      </c>
      <c r="B70" s="8">
        <v>9.9700000000000006</v>
      </c>
      <c r="C70" s="8">
        <v>10.050000000000001</v>
      </c>
      <c r="D70" s="8">
        <v>9.92</v>
      </c>
      <c r="E70" s="8">
        <v>10.050000000000001</v>
      </c>
      <c r="F70" s="4">
        <v>45392</v>
      </c>
      <c r="G70" s="8">
        <v>10.050000000000001</v>
      </c>
    </row>
    <row r="71" spans="1:7" x14ac:dyDescent="0.2">
      <c r="A71" s="4">
        <v>45393</v>
      </c>
      <c r="B71" s="8">
        <v>10.01</v>
      </c>
      <c r="C71" s="8">
        <v>10.199999999999999</v>
      </c>
      <c r="D71" s="8">
        <v>9.9499999999999993</v>
      </c>
      <c r="E71" s="8">
        <v>10.199999999999999</v>
      </c>
      <c r="F71" s="4">
        <v>45393</v>
      </c>
      <c r="G71" s="8">
        <v>10.199999999999999</v>
      </c>
    </row>
    <row r="72" spans="1:7" x14ac:dyDescent="0.2">
      <c r="A72" s="4">
        <v>45394</v>
      </c>
      <c r="B72" s="8">
        <v>10.17</v>
      </c>
      <c r="C72" s="8">
        <v>10.17</v>
      </c>
      <c r="D72" s="8">
        <v>9.98</v>
      </c>
      <c r="E72" s="8">
        <v>10.130000000000001</v>
      </c>
      <c r="F72" s="4">
        <v>45394</v>
      </c>
      <c r="G72" s="8">
        <v>10.130000000000001</v>
      </c>
    </row>
    <row r="73" spans="1:7" x14ac:dyDescent="0.2">
      <c r="A73" s="4">
        <v>45397</v>
      </c>
      <c r="B73" s="8">
        <v>10.01</v>
      </c>
      <c r="C73" s="8">
        <v>10.01</v>
      </c>
      <c r="D73" s="8">
        <v>9.93</v>
      </c>
      <c r="E73" s="8">
        <v>9.98</v>
      </c>
      <c r="F73" s="4">
        <v>45397</v>
      </c>
      <c r="G73" s="8">
        <v>9.98</v>
      </c>
    </row>
    <row r="74" spans="1:7" x14ac:dyDescent="0.2">
      <c r="A74" s="4">
        <v>45398</v>
      </c>
      <c r="B74" s="8">
        <v>10</v>
      </c>
      <c r="C74" s="8">
        <v>10</v>
      </c>
      <c r="D74" s="8">
        <v>9.8800000000000008</v>
      </c>
      <c r="E74" s="8">
        <v>10</v>
      </c>
      <c r="F74" s="4">
        <v>45398</v>
      </c>
      <c r="G74" s="8">
        <v>10</v>
      </c>
    </row>
    <row r="75" spans="1:7" x14ac:dyDescent="0.2">
      <c r="A75" s="4">
        <v>45399</v>
      </c>
      <c r="B75" s="8">
        <v>10</v>
      </c>
      <c r="C75" s="8">
        <v>10.17</v>
      </c>
      <c r="D75" s="8">
        <v>9.9700000000000006</v>
      </c>
      <c r="E75" s="8">
        <v>10.16</v>
      </c>
      <c r="F75" s="4">
        <v>45399</v>
      </c>
      <c r="G75" s="8">
        <v>10.16</v>
      </c>
    </row>
    <row r="76" spans="1:7" x14ac:dyDescent="0.2">
      <c r="A76" s="4">
        <v>45400</v>
      </c>
      <c r="B76" s="8">
        <v>10.16</v>
      </c>
      <c r="C76" s="8">
        <v>10.16</v>
      </c>
      <c r="D76" s="8">
        <v>9.91</v>
      </c>
      <c r="E76" s="8">
        <v>9.92</v>
      </c>
      <c r="F76" s="4">
        <v>45400</v>
      </c>
      <c r="G76" s="8">
        <v>9.92</v>
      </c>
    </row>
    <row r="77" spans="1:7" x14ac:dyDescent="0.2">
      <c r="A77" s="4">
        <v>45401</v>
      </c>
      <c r="B77" s="8">
        <v>9.9499999999999993</v>
      </c>
      <c r="C77" s="8">
        <v>10.039999999999999</v>
      </c>
      <c r="D77" s="8">
        <v>9.9499999999999993</v>
      </c>
      <c r="E77" s="8">
        <v>9.99</v>
      </c>
      <c r="F77" s="4">
        <v>45401</v>
      </c>
      <c r="G77" s="8">
        <v>9.99</v>
      </c>
    </row>
    <row r="78" spans="1:7" x14ac:dyDescent="0.2">
      <c r="A78" s="4">
        <v>45404</v>
      </c>
      <c r="B78" s="8">
        <v>10.09</v>
      </c>
      <c r="C78" s="8">
        <v>10.09</v>
      </c>
      <c r="D78" s="8">
        <v>9.91</v>
      </c>
      <c r="E78" s="8">
        <v>9.9499999999999993</v>
      </c>
      <c r="F78" s="4">
        <v>45404</v>
      </c>
      <c r="G78" s="8">
        <v>9.9499999999999993</v>
      </c>
    </row>
    <row r="79" spans="1:7" x14ac:dyDescent="0.2">
      <c r="A79" s="4">
        <v>45405</v>
      </c>
      <c r="B79" s="8">
        <v>10.01</v>
      </c>
      <c r="C79" s="8">
        <v>10.02</v>
      </c>
      <c r="D79" s="8">
        <v>9.89</v>
      </c>
      <c r="E79" s="8">
        <v>9.93</v>
      </c>
      <c r="F79" s="4">
        <v>45405</v>
      </c>
      <c r="G79" s="8">
        <v>9.93</v>
      </c>
    </row>
    <row r="80" spans="1:7" x14ac:dyDescent="0.2">
      <c r="A80" s="4">
        <v>45406</v>
      </c>
      <c r="B80" s="8">
        <v>10.050000000000001</v>
      </c>
      <c r="C80" s="8">
        <v>10.050000000000001</v>
      </c>
      <c r="D80" s="8">
        <v>9.89</v>
      </c>
      <c r="E80" s="8">
        <v>10.029999999999999</v>
      </c>
      <c r="F80" s="4">
        <v>45406</v>
      </c>
      <c r="G80" s="8">
        <v>10.029999999999999</v>
      </c>
    </row>
    <row r="81" spans="1:7" x14ac:dyDescent="0.2">
      <c r="A81" s="4">
        <v>45408</v>
      </c>
      <c r="B81" s="8">
        <v>10.050000000000001</v>
      </c>
      <c r="C81" s="8">
        <v>10.050000000000001</v>
      </c>
      <c r="D81" s="8">
        <v>9.82</v>
      </c>
      <c r="E81" s="8">
        <v>9.92</v>
      </c>
      <c r="F81" s="4">
        <v>45408</v>
      </c>
      <c r="G81" s="8">
        <v>9.92</v>
      </c>
    </row>
    <row r="82" spans="1:7" x14ac:dyDescent="0.2">
      <c r="A82" s="4">
        <v>45411</v>
      </c>
      <c r="B82" s="8">
        <v>10.039999999999999</v>
      </c>
      <c r="C82" s="8">
        <v>10.19</v>
      </c>
      <c r="D82" s="8">
        <v>9.93</v>
      </c>
      <c r="E82" s="8">
        <v>9.9499999999999993</v>
      </c>
      <c r="F82" s="4">
        <v>45411</v>
      </c>
      <c r="G82" s="8">
        <v>9.9499999999999993</v>
      </c>
    </row>
    <row r="83" spans="1:7" x14ac:dyDescent="0.2">
      <c r="A83" s="4">
        <v>45412</v>
      </c>
      <c r="B83" s="8">
        <v>10.02</v>
      </c>
      <c r="C83" s="8">
        <v>10.09</v>
      </c>
      <c r="D83" s="8">
        <v>9.9600000000000009</v>
      </c>
      <c r="E83" s="8">
        <v>10</v>
      </c>
      <c r="F83" s="4">
        <v>45412</v>
      </c>
      <c r="G83" s="8">
        <v>10</v>
      </c>
    </row>
    <row r="84" spans="1:7" x14ac:dyDescent="0.2">
      <c r="A84" s="4">
        <v>45413</v>
      </c>
      <c r="B84" s="8">
        <v>10</v>
      </c>
      <c r="C84" s="8">
        <v>10.039999999999999</v>
      </c>
      <c r="D84" s="8">
        <v>9.9700000000000006</v>
      </c>
      <c r="E84" s="8">
        <v>9.9700000000000006</v>
      </c>
      <c r="F84" s="4">
        <v>45413</v>
      </c>
      <c r="G84" s="8">
        <v>9.9700000000000006</v>
      </c>
    </row>
    <row r="85" spans="1:7" x14ac:dyDescent="0.2">
      <c r="A85" s="4">
        <v>45414</v>
      </c>
      <c r="B85" s="8">
        <v>10</v>
      </c>
      <c r="C85" s="8">
        <v>10.029999999999999</v>
      </c>
      <c r="D85" s="8">
        <v>9.92</v>
      </c>
      <c r="E85" s="8">
        <v>10.02</v>
      </c>
      <c r="F85" s="4">
        <v>45414</v>
      </c>
      <c r="G85" s="8">
        <v>10.02</v>
      </c>
    </row>
    <row r="86" spans="1:7" x14ac:dyDescent="0.2">
      <c r="A86" s="4">
        <v>45415</v>
      </c>
      <c r="B86" s="8">
        <v>10.02</v>
      </c>
      <c r="C86" s="8">
        <v>10.02</v>
      </c>
      <c r="D86" s="8">
        <v>9.86</v>
      </c>
      <c r="E86" s="8">
        <v>9.9499999999999993</v>
      </c>
      <c r="F86" s="4">
        <v>45415</v>
      </c>
      <c r="G86" s="8">
        <v>9.9499999999999993</v>
      </c>
    </row>
    <row r="87" spans="1:7" x14ac:dyDescent="0.2">
      <c r="A87" s="4">
        <v>45418</v>
      </c>
      <c r="B87" s="8">
        <v>9.9600000000000009</v>
      </c>
      <c r="C87" s="8">
        <v>9.98</v>
      </c>
      <c r="D87" s="8">
        <v>9.67</v>
      </c>
      <c r="E87" s="8">
        <v>9.68</v>
      </c>
      <c r="F87" s="4">
        <v>45418</v>
      </c>
      <c r="G87" s="8">
        <v>9.68</v>
      </c>
    </row>
    <row r="88" spans="1:7" x14ac:dyDescent="0.2">
      <c r="A88" s="4">
        <v>45419</v>
      </c>
      <c r="B88" s="8">
        <v>9.7200000000000006</v>
      </c>
      <c r="C88" s="8">
        <v>9.8000000000000007</v>
      </c>
      <c r="D88" s="8">
        <v>9.65</v>
      </c>
      <c r="E88" s="8">
        <v>9.73</v>
      </c>
      <c r="F88" s="4">
        <v>45419</v>
      </c>
      <c r="G88" s="8">
        <v>9.73</v>
      </c>
    </row>
    <row r="89" spans="1:7" x14ac:dyDescent="0.2">
      <c r="A89" s="4">
        <v>45420</v>
      </c>
      <c r="B89" s="8">
        <v>9.75</v>
      </c>
      <c r="C89" s="8">
        <v>9.89</v>
      </c>
      <c r="D89" s="8">
        <v>9.75</v>
      </c>
      <c r="E89" s="8">
        <v>9.89</v>
      </c>
      <c r="F89" s="4">
        <v>45420</v>
      </c>
      <c r="G89" s="8">
        <v>9.89</v>
      </c>
    </row>
    <row r="90" spans="1:7" x14ac:dyDescent="0.2">
      <c r="A90" s="4">
        <v>45421</v>
      </c>
      <c r="B90" s="8">
        <v>9.89</v>
      </c>
      <c r="C90" s="8">
        <v>9.89</v>
      </c>
      <c r="D90" s="8">
        <v>9.7100000000000009</v>
      </c>
      <c r="E90" s="8">
        <v>9.7799999999999994</v>
      </c>
      <c r="F90" s="4">
        <v>45421</v>
      </c>
      <c r="G90" s="8">
        <v>9.7799999999999994</v>
      </c>
    </row>
    <row r="91" spans="1:7" x14ac:dyDescent="0.2">
      <c r="A91" s="4">
        <v>45422</v>
      </c>
      <c r="B91" s="8">
        <v>9.8800000000000008</v>
      </c>
      <c r="C91" s="8">
        <v>9.8800000000000008</v>
      </c>
      <c r="D91" s="8">
        <v>9.7100000000000009</v>
      </c>
      <c r="E91" s="8">
        <v>9.7100000000000009</v>
      </c>
      <c r="F91" s="4">
        <v>45422</v>
      </c>
      <c r="G91" s="8">
        <v>9.7100000000000009</v>
      </c>
    </row>
    <row r="92" spans="1:7" x14ac:dyDescent="0.2">
      <c r="A92" s="4">
        <v>45425</v>
      </c>
      <c r="B92" s="8">
        <v>9.75</v>
      </c>
      <c r="C92" s="8">
        <v>9.75</v>
      </c>
      <c r="D92" s="8">
        <v>9.58</v>
      </c>
      <c r="E92" s="8">
        <v>9.6300000000000008</v>
      </c>
      <c r="F92" s="4">
        <v>45425</v>
      </c>
      <c r="G92" s="8">
        <v>9.6300000000000008</v>
      </c>
    </row>
    <row r="93" spans="1:7" x14ac:dyDescent="0.2">
      <c r="A93" s="4">
        <v>45426</v>
      </c>
      <c r="B93" s="8">
        <v>9.6</v>
      </c>
      <c r="C93" s="8">
        <v>9.61</v>
      </c>
      <c r="D93" s="8">
        <v>9.4</v>
      </c>
      <c r="E93" s="8">
        <v>9.48</v>
      </c>
      <c r="F93" s="4">
        <v>45426</v>
      </c>
      <c r="G93" s="8">
        <v>9.48</v>
      </c>
    </row>
    <row r="94" spans="1:7" x14ac:dyDescent="0.2">
      <c r="A94" s="4">
        <v>45427</v>
      </c>
      <c r="B94" s="8">
        <v>9.4499999999999993</v>
      </c>
      <c r="C94" s="8">
        <v>9.6</v>
      </c>
      <c r="D94" s="8">
        <v>9.43</v>
      </c>
      <c r="E94" s="8">
        <v>9.5500000000000007</v>
      </c>
      <c r="F94" s="4">
        <v>45427</v>
      </c>
      <c r="G94" s="8">
        <v>9.5500000000000007</v>
      </c>
    </row>
    <row r="95" spans="1:7" x14ac:dyDescent="0.2">
      <c r="A95" s="4">
        <v>45428</v>
      </c>
      <c r="B95" s="8">
        <v>9.65</v>
      </c>
      <c r="C95" s="8">
        <v>9.9</v>
      </c>
      <c r="D95" s="8">
        <v>9.65</v>
      </c>
      <c r="E95" s="8">
        <v>9.84</v>
      </c>
      <c r="F95" s="4">
        <v>45428</v>
      </c>
      <c r="G95" s="8">
        <v>9.84</v>
      </c>
    </row>
    <row r="96" spans="1:7" x14ac:dyDescent="0.2">
      <c r="A96" s="4">
        <v>45429</v>
      </c>
      <c r="B96" s="8">
        <v>9.86</v>
      </c>
      <c r="C96" s="8">
        <v>9.98</v>
      </c>
      <c r="D96" s="8">
        <v>9.86</v>
      </c>
      <c r="E96" s="8">
        <v>9.94</v>
      </c>
      <c r="F96" s="4">
        <v>45429</v>
      </c>
      <c r="G96" s="8">
        <v>9.94</v>
      </c>
    </row>
    <row r="97" spans="1:7" x14ac:dyDescent="0.2">
      <c r="A97" s="4">
        <v>45432</v>
      </c>
      <c r="B97" s="8">
        <v>9.9499999999999993</v>
      </c>
      <c r="C97" s="8">
        <v>10.42</v>
      </c>
      <c r="D97" s="8">
        <v>9.9499999999999993</v>
      </c>
      <c r="E97" s="8">
        <v>10.35</v>
      </c>
      <c r="F97" s="4">
        <v>45432</v>
      </c>
      <c r="G97" s="8">
        <v>10.35</v>
      </c>
    </row>
    <row r="98" spans="1:7" x14ac:dyDescent="0.2">
      <c r="A98" s="4">
        <v>45433</v>
      </c>
      <c r="B98" s="8">
        <v>9.9</v>
      </c>
      <c r="C98" s="8">
        <v>9.94</v>
      </c>
      <c r="D98" s="8">
        <v>9.74</v>
      </c>
      <c r="E98" s="8">
        <v>9.75</v>
      </c>
      <c r="F98" s="4">
        <v>45433</v>
      </c>
      <c r="G98" s="8">
        <v>9.75</v>
      </c>
    </row>
    <row r="99" spans="1:7" x14ac:dyDescent="0.2">
      <c r="A99" s="4">
        <v>45434</v>
      </c>
      <c r="B99" s="8">
        <v>9.8800000000000008</v>
      </c>
      <c r="C99" s="8">
        <v>9.98</v>
      </c>
      <c r="D99" s="8">
        <v>9.84</v>
      </c>
      <c r="E99" s="8">
        <v>9.8800000000000008</v>
      </c>
      <c r="F99" s="4">
        <v>45434</v>
      </c>
      <c r="G99" s="8">
        <v>9.8800000000000008</v>
      </c>
    </row>
    <row r="100" spans="1:7" x14ac:dyDescent="0.2">
      <c r="A100" s="4">
        <v>45435</v>
      </c>
      <c r="B100" s="8">
        <v>10.02</v>
      </c>
      <c r="C100" s="8">
        <v>10.19</v>
      </c>
      <c r="D100" s="8">
        <v>9.9700000000000006</v>
      </c>
      <c r="E100" s="8">
        <v>10.1</v>
      </c>
      <c r="F100" s="4">
        <v>45435</v>
      </c>
      <c r="G100" s="8">
        <v>10.1</v>
      </c>
    </row>
    <row r="101" spans="1:7" x14ac:dyDescent="0.2">
      <c r="A101" s="4">
        <v>45436</v>
      </c>
      <c r="B101" s="8">
        <v>10.06</v>
      </c>
      <c r="C101" s="8">
        <v>10.210000000000001</v>
      </c>
      <c r="D101" s="8">
        <v>10.050000000000001</v>
      </c>
      <c r="E101" s="8">
        <v>10.050000000000001</v>
      </c>
      <c r="F101" s="4">
        <v>45436</v>
      </c>
      <c r="G101" s="8">
        <v>10.050000000000001</v>
      </c>
    </row>
    <row r="102" spans="1:7" x14ac:dyDescent="0.2">
      <c r="A102" s="4">
        <v>45439</v>
      </c>
      <c r="B102" s="8">
        <v>10.119999999999999</v>
      </c>
      <c r="C102" s="8">
        <v>10.130000000000001</v>
      </c>
      <c r="D102" s="8">
        <v>10.02</v>
      </c>
      <c r="E102" s="8">
        <v>10.06</v>
      </c>
      <c r="F102" s="4">
        <v>45439</v>
      </c>
      <c r="G102" s="8">
        <v>10.06</v>
      </c>
    </row>
    <row r="103" spans="1:7" x14ac:dyDescent="0.2">
      <c r="A103" s="4">
        <v>45440</v>
      </c>
      <c r="B103" s="8">
        <v>10.050000000000001</v>
      </c>
      <c r="C103" s="8">
        <v>10.119999999999999</v>
      </c>
      <c r="D103" s="8">
        <v>10</v>
      </c>
      <c r="E103" s="8">
        <v>10.08</v>
      </c>
      <c r="F103" s="4">
        <v>45440</v>
      </c>
      <c r="G103" s="8">
        <v>10.08</v>
      </c>
    </row>
    <row r="104" spans="1:7" x14ac:dyDescent="0.2">
      <c r="A104" s="4">
        <v>45441</v>
      </c>
      <c r="B104" s="8">
        <v>10.1</v>
      </c>
      <c r="C104" s="8">
        <v>10.1</v>
      </c>
      <c r="D104" s="8">
        <v>9.85</v>
      </c>
      <c r="E104" s="8">
        <v>9.9499999999999993</v>
      </c>
      <c r="F104" s="4">
        <v>45441</v>
      </c>
      <c r="G104" s="8">
        <v>9.9499999999999993</v>
      </c>
    </row>
    <row r="105" spans="1:7" x14ac:dyDescent="0.2">
      <c r="A105" s="4">
        <v>45442</v>
      </c>
      <c r="B105" s="8">
        <v>10</v>
      </c>
      <c r="C105" s="8">
        <v>10</v>
      </c>
      <c r="D105" s="8">
        <v>9.75</v>
      </c>
      <c r="E105" s="8">
        <v>9.7799999999999994</v>
      </c>
      <c r="F105" s="4">
        <v>45442</v>
      </c>
      <c r="G105" s="8">
        <v>9.7799999999999994</v>
      </c>
    </row>
    <row r="106" spans="1:7" x14ac:dyDescent="0.2">
      <c r="A106" s="4">
        <v>45443</v>
      </c>
      <c r="B106" s="8">
        <v>9.8800000000000008</v>
      </c>
      <c r="C106" s="8">
        <v>9.89</v>
      </c>
      <c r="D106" s="8">
        <v>9.75</v>
      </c>
      <c r="E106" s="8">
        <v>9.85</v>
      </c>
      <c r="F106" s="4">
        <v>45443</v>
      </c>
      <c r="G106" s="8">
        <v>9.85</v>
      </c>
    </row>
    <row r="107" spans="1:7" x14ac:dyDescent="0.2">
      <c r="A107" s="4">
        <v>45446</v>
      </c>
      <c r="B107" s="8">
        <v>9.93</v>
      </c>
      <c r="C107" s="8">
        <v>10</v>
      </c>
      <c r="D107" s="8">
        <v>9.91</v>
      </c>
      <c r="E107" s="8">
        <v>9.9600000000000009</v>
      </c>
      <c r="F107" s="4">
        <v>45446</v>
      </c>
      <c r="G107" s="8">
        <v>9.9600000000000009</v>
      </c>
    </row>
    <row r="108" spans="1:7" x14ac:dyDescent="0.2">
      <c r="A108" s="4">
        <v>45447</v>
      </c>
      <c r="B108" s="8">
        <v>10.039999999999999</v>
      </c>
      <c r="C108" s="8">
        <v>10.17</v>
      </c>
      <c r="D108" s="8">
        <v>9.9700000000000006</v>
      </c>
      <c r="E108" s="8">
        <v>10.1</v>
      </c>
      <c r="F108" s="4">
        <v>45447</v>
      </c>
      <c r="G108" s="8">
        <v>10.1</v>
      </c>
    </row>
    <row r="109" spans="1:7" x14ac:dyDescent="0.2">
      <c r="A109" s="4">
        <v>45448</v>
      </c>
      <c r="B109" s="8">
        <v>10.08</v>
      </c>
      <c r="C109" s="8">
        <v>10.4</v>
      </c>
      <c r="D109" s="8">
        <v>10.050000000000001</v>
      </c>
      <c r="E109" s="8">
        <v>10.31</v>
      </c>
      <c r="F109" s="4">
        <v>45448</v>
      </c>
      <c r="G109" s="8">
        <v>10.31</v>
      </c>
    </row>
    <row r="110" spans="1:7" x14ac:dyDescent="0.2">
      <c r="A110" s="4">
        <v>45449</v>
      </c>
      <c r="B110" s="8">
        <v>10.3</v>
      </c>
      <c r="C110" s="8">
        <v>10.87</v>
      </c>
      <c r="D110" s="8">
        <v>10.3</v>
      </c>
      <c r="E110" s="8">
        <v>10.61</v>
      </c>
      <c r="F110" s="4">
        <v>45449</v>
      </c>
      <c r="G110" s="8">
        <v>10.61</v>
      </c>
    </row>
    <row r="111" spans="1:7" x14ac:dyDescent="0.2">
      <c r="A111" s="4">
        <v>45450</v>
      </c>
      <c r="B111" s="8">
        <v>10.72</v>
      </c>
      <c r="C111" s="8">
        <v>10.72</v>
      </c>
      <c r="D111" s="8">
        <v>10.31</v>
      </c>
      <c r="E111" s="8">
        <v>10.35</v>
      </c>
      <c r="F111" s="4">
        <v>45450</v>
      </c>
      <c r="G111" s="8">
        <v>10.35</v>
      </c>
    </row>
    <row r="112" spans="1:7" x14ac:dyDescent="0.2">
      <c r="A112" s="4">
        <v>45454</v>
      </c>
      <c r="B112" s="8">
        <v>10.199999999999999</v>
      </c>
      <c r="C112" s="8">
        <v>10.199999999999999</v>
      </c>
      <c r="D112" s="8">
        <v>9.9700000000000006</v>
      </c>
      <c r="E112" s="8">
        <v>10</v>
      </c>
      <c r="F112" s="4">
        <v>45454</v>
      </c>
      <c r="G112" s="8">
        <v>10</v>
      </c>
    </row>
    <row r="113" spans="1:7" x14ac:dyDescent="0.2">
      <c r="A113" s="4">
        <v>45455</v>
      </c>
      <c r="B113" s="8">
        <v>10.01</v>
      </c>
      <c r="C113" s="8">
        <v>10.050000000000001</v>
      </c>
      <c r="D113" s="8">
        <v>9.92</v>
      </c>
      <c r="E113" s="8">
        <v>9.92</v>
      </c>
      <c r="F113" s="4">
        <v>45455</v>
      </c>
      <c r="G113" s="8">
        <v>9.92</v>
      </c>
    </row>
    <row r="114" spans="1:7" x14ac:dyDescent="0.2">
      <c r="A114" s="4">
        <v>45456</v>
      </c>
      <c r="B114" s="8">
        <v>9.93</v>
      </c>
      <c r="C114" s="8">
        <v>9.9600000000000009</v>
      </c>
      <c r="D114" s="8">
        <v>9.86</v>
      </c>
      <c r="E114" s="8">
        <v>9.8800000000000008</v>
      </c>
      <c r="F114" s="4">
        <v>45456</v>
      </c>
      <c r="G114" s="8">
        <v>9.8800000000000008</v>
      </c>
    </row>
    <row r="115" spans="1:7" x14ac:dyDescent="0.2">
      <c r="A115" s="4">
        <v>45457</v>
      </c>
      <c r="B115" s="8">
        <v>9.92</v>
      </c>
      <c r="C115" s="8">
        <v>10.14</v>
      </c>
      <c r="D115" s="8">
        <v>9.9</v>
      </c>
      <c r="E115" s="8">
        <v>10.06</v>
      </c>
      <c r="F115" s="4">
        <v>45457</v>
      </c>
      <c r="G115" s="8">
        <v>10.06</v>
      </c>
    </row>
    <row r="116" spans="1:7" x14ac:dyDescent="0.2">
      <c r="A116" s="4">
        <v>45460</v>
      </c>
      <c r="B116" s="8">
        <v>0</v>
      </c>
      <c r="C116" s="8">
        <v>0</v>
      </c>
      <c r="D116" s="8">
        <v>0</v>
      </c>
      <c r="E116" s="8">
        <v>10.06</v>
      </c>
      <c r="F116" s="4">
        <v>45460</v>
      </c>
      <c r="G116" s="8">
        <v>10.06</v>
      </c>
    </row>
    <row r="117" spans="1:7" x14ac:dyDescent="0.2">
      <c r="A117" s="4">
        <v>45461</v>
      </c>
      <c r="B117" s="8">
        <v>9.99</v>
      </c>
      <c r="C117" s="8">
        <v>10.59</v>
      </c>
      <c r="D117" s="8">
        <v>9.98</v>
      </c>
      <c r="E117" s="8">
        <v>10.55</v>
      </c>
      <c r="F117" s="4">
        <v>45461</v>
      </c>
      <c r="G117" s="8">
        <v>10.55</v>
      </c>
    </row>
    <row r="118" spans="1:7" x14ac:dyDescent="0.2">
      <c r="A118" s="4">
        <v>45462</v>
      </c>
      <c r="B118" s="8">
        <v>10.47</v>
      </c>
      <c r="C118" s="8">
        <v>10.47</v>
      </c>
      <c r="D118" s="8">
        <v>10.215</v>
      </c>
      <c r="E118" s="8">
        <v>10.25</v>
      </c>
      <c r="F118" s="4">
        <v>45462</v>
      </c>
      <c r="G118" s="8">
        <v>10.25</v>
      </c>
    </row>
    <row r="119" spans="1:7" x14ac:dyDescent="0.2">
      <c r="A119" s="4">
        <v>45463</v>
      </c>
      <c r="B119" s="8">
        <v>10.199999999999999</v>
      </c>
      <c r="C119" s="8">
        <v>10.33</v>
      </c>
      <c r="D119" s="8">
        <v>10.07</v>
      </c>
      <c r="E119" s="8">
        <v>10.26</v>
      </c>
      <c r="F119" s="4">
        <v>45463</v>
      </c>
      <c r="G119" s="8">
        <v>10.26</v>
      </c>
    </row>
    <row r="120" spans="1:7" x14ac:dyDescent="0.2">
      <c r="A120" s="4">
        <v>45464</v>
      </c>
      <c r="B120" s="8">
        <v>10.26</v>
      </c>
      <c r="C120" s="8">
        <v>10.3</v>
      </c>
      <c r="D120" s="8">
        <v>9.9700000000000006</v>
      </c>
      <c r="E120" s="8">
        <v>10.029999999999999</v>
      </c>
      <c r="F120" s="4">
        <v>45464</v>
      </c>
      <c r="G120" s="8">
        <v>10.029999999999999</v>
      </c>
    </row>
    <row r="121" spans="1:7" x14ac:dyDescent="0.2">
      <c r="A121" s="4">
        <v>45467</v>
      </c>
      <c r="B121" s="8">
        <v>10.1</v>
      </c>
      <c r="C121" s="8">
        <v>10.14</v>
      </c>
      <c r="D121" s="8">
        <v>9.93</v>
      </c>
      <c r="E121" s="8">
        <v>10.07</v>
      </c>
      <c r="F121" s="4">
        <v>45467</v>
      </c>
      <c r="G121" s="8">
        <v>10.07</v>
      </c>
    </row>
    <row r="122" spans="1:7" x14ac:dyDescent="0.2">
      <c r="A122" s="4">
        <v>45468</v>
      </c>
      <c r="B122" s="8">
        <v>10.11</v>
      </c>
      <c r="C122" s="8">
        <v>10.18</v>
      </c>
      <c r="D122" s="8">
        <v>10.029999999999999</v>
      </c>
      <c r="E122" s="8">
        <v>10.11</v>
      </c>
      <c r="F122" s="4">
        <v>45468</v>
      </c>
      <c r="G122" s="8">
        <v>10.11</v>
      </c>
    </row>
    <row r="123" spans="1:7" x14ac:dyDescent="0.2">
      <c r="A123" s="4">
        <v>45469</v>
      </c>
      <c r="B123" s="8">
        <v>10.130000000000001</v>
      </c>
      <c r="C123" s="8">
        <v>10.25</v>
      </c>
      <c r="D123" s="8">
        <v>10.07</v>
      </c>
      <c r="E123" s="8">
        <v>10.220000000000001</v>
      </c>
      <c r="F123" s="4">
        <v>45469</v>
      </c>
      <c r="G123" s="8">
        <v>10.220000000000001</v>
      </c>
    </row>
    <row r="124" spans="1:7" x14ac:dyDescent="0.2">
      <c r="A124" s="4">
        <v>45470</v>
      </c>
      <c r="B124" s="8">
        <v>10.17</v>
      </c>
      <c r="C124" s="8">
        <v>10.23</v>
      </c>
      <c r="D124" s="8">
        <v>10.029999999999999</v>
      </c>
      <c r="E124" s="8">
        <v>10.18</v>
      </c>
      <c r="F124" s="4">
        <v>45470</v>
      </c>
      <c r="G124" s="8">
        <v>10.18</v>
      </c>
    </row>
    <row r="125" spans="1:7" x14ac:dyDescent="0.2">
      <c r="A125" s="4">
        <v>45471</v>
      </c>
      <c r="B125" s="8">
        <v>10.199999999999999</v>
      </c>
      <c r="C125" s="8">
        <v>10.34</v>
      </c>
      <c r="D125" s="8">
        <v>10.130000000000001</v>
      </c>
      <c r="E125" s="8">
        <v>10.34</v>
      </c>
      <c r="F125" s="4">
        <v>45471</v>
      </c>
      <c r="G125" s="8">
        <v>10.34</v>
      </c>
    </row>
    <row r="126" spans="1:7" x14ac:dyDescent="0.2">
      <c r="A126" s="4">
        <v>45474</v>
      </c>
      <c r="B126" s="8">
        <v>10.5</v>
      </c>
      <c r="C126" s="8">
        <v>10.5</v>
      </c>
      <c r="D126" s="8">
        <v>10.09</v>
      </c>
      <c r="E126" s="8">
        <v>10.18</v>
      </c>
      <c r="F126" s="4">
        <v>45474</v>
      </c>
      <c r="G126" s="8">
        <v>10.18</v>
      </c>
    </row>
    <row r="127" spans="1:7" x14ac:dyDescent="0.2">
      <c r="A127" s="4">
        <v>45475</v>
      </c>
      <c r="B127" s="8">
        <v>10.18</v>
      </c>
      <c r="C127" s="8">
        <v>10.210000000000001</v>
      </c>
      <c r="D127" s="8">
        <v>10.065</v>
      </c>
      <c r="E127" s="8">
        <v>10.19</v>
      </c>
      <c r="F127" s="4">
        <v>45475</v>
      </c>
      <c r="G127" s="8">
        <v>10.19</v>
      </c>
    </row>
    <row r="128" spans="1:7" x14ac:dyDescent="0.2">
      <c r="A128" s="4">
        <v>45476</v>
      </c>
      <c r="B128" s="8">
        <v>10.25</v>
      </c>
      <c r="C128" s="8">
        <v>10.25</v>
      </c>
      <c r="D128" s="8">
        <v>10.119999999999999</v>
      </c>
      <c r="E128" s="8">
        <v>10.210000000000001</v>
      </c>
      <c r="F128" s="4">
        <v>45476</v>
      </c>
      <c r="G128" s="8">
        <v>10.210000000000001</v>
      </c>
    </row>
    <row r="129" spans="1:7" x14ac:dyDescent="0.2">
      <c r="A129" s="4">
        <v>45477</v>
      </c>
      <c r="B129" s="8">
        <v>10.3</v>
      </c>
      <c r="C129" s="8">
        <v>10.3</v>
      </c>
      <c r="D129" s="8">
        <v>10.039999999999999</v>
      </c>
      <c r="E129" s="8">
        <v>10.1</v>
      </c>
      <c r="F129" s="4">
        <v>45477</v>
      </c>
      <c r="G129" s="8">
        <v>10.1</v>
      </c>
    </row>
    <row r="130" spans="1:7" x14ac:dyDescent="0.2">
      <c r="A130" s="4">
        <v>45478</v>
      </c>
      <c r="B130" s="8">
        <v>10.220000000000001</v>
      </c>
      <c r="C130" s="8">
        <v>10.220000000000001</v>
      </c>
      <c r="D130" s="8">
        <v>10.050000000000001</v>
      </c>
      <c r="E130" s="8">
        <v>10.11</v>
      </c>
      <c r="F130" s="4">
        <v>45478</v>
      </c>
      <c r="G130" s="8">
        <v>10.11</v>
      </c>
    </row>
    <row r="131" spans="1:7" x14ac:dyDescent="0.2">
      <c r="A131" s="4">
        <v>45481</v>
      </c>
      <c r="B131" s="8">
        <v>10.15</v>
      </c>
      <c r="C131" s="8">
        <v>10.33</v>
      </c>
      <c r="D131" s="8">
        <v>10.050000000000001</v>
      </c>
      <c r="E131" s="8">
        <v>10.32</v>
      </c>
      <c r="F131" s="4">
        <v>45481</v>
      </c>
      <c r="G131" s="8">
        <v>10.32</v>
      </c>
    </row>
    <row r="132" spans="1:7" x14ac:dyDescent="0.2">
      <c r="A132" s="4">
        <v>45482</v>
      </c>
      <c r="B132" s="8">
        <v>10.27</v>
      </c>
      <c r="C132" s="8">
        <v>10.27</v>
      </c>
      <c r="D132" s="8">
        <v>10.130000000000001</v>
      </c>
      <c r="E132" s="8">
        <v>10.130000000000001</v>
      </c>
      <c r="F132" s="4">
        <v>45482</v>
      </c>
      <c r="G132" s="8">
        <v>10.130000000000001</v>
      </c>
    </row>
    <row r="133" spans="1:7" x14ac:dyDescent="0.2">
      <c r="A133" s="4">
        <v>45483</v>
      </c>
      <c r="B133" s="8">
        <v>10.18</v>
      </c>
      <c r="C133" s="8">
        <v>10.18</v>
      </c>
      <c r="D133" s="8">
        <v>10.050000000000001</v>
      </c>
      <c r="E133" s="8">
        <v>10.06</v>
      </c>
      <c r="F133" s="4">
        <v>45483</v>
      </c>
      <c r="G133" s="8">
        <v>10.06</v>
      </c>
    </row>
    <row r="134" spans="1:7" x14ac:dyDescent="0.2">
      <c r="A134" s="4">
        <v>45484</v>
      </c>
      <c r="B134" s="8">
        <v>10.130000000000001</v>
      </c>
      <c r="C134" s="8">
        <v>10.130000000000001</v>
      </c>
      <c r="D134" s="8">
        <v>10.039999999999999</v>
      </c>
      <c r="E134" s="8">
        <v>10.08</v>
      </c>
      <c r="F134" s="4">
        <v>45484</v>
      </c>
      <c r="G134" s="8">
        <v>10.08</v>
      </c>
    </row>
    <row r="135" spans="1:7" x14ac:dyDescent="0.2">
      <c r="A135" s="4">
        <v>45485</v>
      </c>
      <c r="B135" s="8">
        <v>10.08</v>
      </c>
      <c r="C135" s="8">
        <v>10.08</v>
      </c>
      <c r="D135" s="8">
        <v>9.85</v>
      </c>
      <c r="E135" s="8">
        <v>9.8800000000000008</v>
      </c>
      <c r="F135" s="4">
        <v>45485</v>
      </c>
      <c r="G135" s="8">
        <v>9.8800000000000008</v>
      </c>
    </row>
    <row r="136" spans="1:7" x14ac:dyDescent="0.2">
      <c r="A136" s="4">
        <v>45488</v>
      </c>
      <c r="B136" s="8">
        <v>9.8800000000000008</v>
      </c>
      <c r="C136" s="8">
        <v>9.8800000000000008</v>
      </c>
      <c r="D136" s="8">
        <v>9.65</v>
      </c>
      <c r="E136" s="8">
        <v>9.69</v>
      </c>
      <c r="F136" s="4">
        <v>45488</v>
      </c>
      <c r="G136" s="8">
        <v>9.69</v>
      </c>
    </row>
    <row r="137" spans="1:7" x14ac:dyDescent="0.2">
      <c r="A137" s="4">
        <v>45489</v>
      </c>
      <c r="B137" s="8">
        <v>9.6999999999999993</v>
      </c>
      <c r="C137" s="8">
        <v>9.6999999999999993</v>
      </c>
      <c r="D137" s="8">
        <v>9.5399999999999991</v>
      </c>
      <c r="E137" s="8">
        <v>9.56</v>
      </c>
      <c r="F137" s="4">
        <v>45489</v>
      </c>
      <c r="G137" s="8">
        <v>9.56</v>
      </c>
    </row>
    <row r="138" spans="1:7" x14ac:dyDescent="0.2">
      <c r="A138" s="4">
        <v>45490</v>
      </c>
      <c r="B138" s="8">
        <v>9.69</v>
      </c>
      <c r="C138" s="8">
        <v>9.9</v>
      </c>
      <c r="D138" s="8">
        <v>9.68</v>
      </c>
      <c r="E138" s="8">
        <v>9.73</v>
      </c>
      <c r="F138" s="4">
        <v>45490</v>
      </c>
      <c r="G138" s="8">
        <v>9.73</v>
      </c>
    </row>
    <row r="139" spans="1:7" x14ac:dyDescent="0.2">
      <c r="A139" s="4">
        <v>45491</v>
      </c>
      <c r="B139" s="8">
        <v>9.83</v>
      </c>
      <c r="C139" s="8">
        <v>9.86</v>
      </c>
      <c r="D139" s="8">
        <v>9.7100000000000009</v>
      </c>
      <c r="E139" s="8">
        <v>9.86</v>
      </c>
      <c r="F139" s="4">
        <v>45491</v>
      </c>
      <c r="G139" s="8">
        <v>9.86</v>
      </c>
    </row>
    <row r="140" spans="1:7" x14ac:dyDescent="0.2">
      <c r="A140" s="4">
        <v>45492</v>
      </c>
      <c r="B140" s="8">
        <v>9.8699999999999992</v>
      </c>
      <c r="C140" s="8">
        <v>9.8699999999999992</v>
      </c>
      <c r="D140" s="8">
        <v>9.67</v>
      </c>
      <c r="E140" s="8">
        <v>9.74</v>
      </c>
      <c r="F140" s="4">
        <v>45492</v>
      </c>
      <c r="G140" s="8">
        <v>9.74</v>
      </c>
    </row>
    <row r="141" spans="1:7" x14ac:dyDescent="0.2">
      <c r="A141" s="4">
        <v>45495</v>
      </c>
      <c r="B141" s="8">
        <v>9.7200000000000006</v>
      </c>
      <c r="C141" s="8">
        <v>9.7899999999999991</v>
      </c>
      <c r="D141" s="8">
        <v>9.69</v>
      </c>
      <c r="E141" s="8">
        <v>9.6999999999999993</v>
      </c>
      <c r="F141" s="4">
        <v>45495</v>
      </c>
      <c r="G141" s="8">
        <v>9.6999999999999993</v>
      </c>
    </row>
    <row r="142" spans="1:7" x14ac:dyDescent="0.2">
      <c r="A142" s="4">
        <v>45496</v>
      </c>
      <c r="B142" s="8">
        <v>9.73</v>
      </c>
      <c r="C142" s="8">
        <v>9.84</v>
      </c>
      <c r="D142" s="8">
        <v>9.69</v>
      </c>
      <c r="E142" s="8">
        <v>9.81</v>
      </c>
      <c r="F142" s="4">
        <v>45496</v>
      </c>
      <c r="G142" s="8">
        <v>9.81</v>
      </c>
    </row>
    <row r="143" spans="1:7" x14ac:dyDescent="0.2">
      <c r="A143" s="4">
        <v>45497</v>
      </c>
      <c r="B143" s="8">
        <v>9.8000000000000007</v>
      </c>
      <c r="C143" s="8">
        <v>10</v>
      </c>
      <c r="D143" s="8">
        <v>9.76</v>
      </c>
      <c r="E143" s="8">
        <v>10</v>
      </c>
      <c r="F143" s="4">
        <v>45497</v>
      </c>
      <c r="G143" s="8">
        <v>10</v>
      </c>
    </row>
    <row r="144" spans="1:7" x14ac:dyDescent="0.2">
      <c r="A144" s="4">
        <v>45498</v>
      </c>
      <c r="B144" s="8">
        <v>9.91</v>
      </c>
      <c r="C144" s="8">
        <v>9.9499999999999993</v>
      </c>
      <c r="D144" s="8">
        <v>9.85</v>
      </c>
      <c r="E144" s="8">
        <v>9.85</v>
      </c>
      <c r="F144" s="4">
        <v>45498</v>
      </c>
      <c r="G144" s="8">
        <v>9.85</v>
      </c>
    </row>
    <row r="145" spans="1:7" x14ac:dyDescent="0.2">
      <c r="A145" s="4">
        <v>45499</v>
      </c>
      <c r="B145" s="8">
        <v>9.9</v>
      </c>
      <c r="C145" s="8">
        <v>9.9</v>
      </c>
      <c r="D145" s="8">
        <v>9.7100000000000009</v>
      </c>
      <c r="E145" s="8">
        <v>9.7200000000000006</v>
      </c>
      <c r="F145" s="4">
        <v>45499</v>
      </c>
      <c r="G145" s="8">
        <v>9.7200000000000006</v>
      </c>
    </row>
    <row r="146" spans="1:7" x14ac:dyDescent="0.2">
      <c r="A146" s="4">
        <v>45502</v>
      </c>
      <c r="B146" s="8">
        <v>9.7799999999999994</v>
      </c>
      <c r="C146" s="8">
        <v>9.7899999999999991</v>
      </c>
      <c r="D146" s="8">
        <v>9.7200000000000006</v>
      </c>
      <c r="E146" s="8">
        <v>9.76</v>
      </c>
      <c r="F146" s="4">
        <v>45502</v>
      </c>
      <c r="G146" s="8">
        <v>9.76</v>
      </c>
    </row>
    <row r="147" spans="1:7" x14ac:dyDescent="0.2">
      <c r="A147" s="4">
        <v>45503</v>
      </c>
      <c r="B147" s="8">
        <v>9.92</v>
      </c>
      <c r="C147" s="8">
        <v>9.92</v>
      </c>
      <c r="D147" s="8">
        <v>9.69</v>
      </c>
      <c r="E147" s="8">
        <v>9.76</v>
      </c>
      <c r="F147" s="4">
        <v>45503</v>
      </c>
      <c r="G147" s="8">
        <v>9.76</v>
      </c>
    </row>
    <row r="148" spans="1:7" x14ac:dyDescent="0.2">
      <c r="A148" s="4">
        <v>45504</v>
      </c>
      <c r="B148" s="8">
        <v>9.8699999999999992</v>
      </c>
      <c r="C148" s="8">
        <v>9.8800000000000008</v>
      </c>
      <c r="D148" s="8">
        <v>9.7899999999999991</v>
      </c>
      <c r="E148" s="8">
        <v>9.82</v>
      </c>
      <c r="F148" s="4">
        <v>45504</v>
      </c>
      <c r="G148" s="8">
        <v>9.82</v>
      </c>
    </row>
    <row r="149" spans="1:7" x14ac:dyDescent="0.2">
      <c r="A149" s="4">
        <v>45505</v>
      </c>
      <c r="B149" s="8">
        <v>9.89</v>
      </c>
      <c r="C149" s="8">
        <v>9.89</v>
      </c>
      <c r="D149" s="8">
        <v>9.76</v>
      </c>
      <c r="E149" s="8">
        <v>9.85</v>
      </c>
      <c r="F149" s="4">
        <v>45505</v>
      </c>
      <c r="G149" s="8">
        <v>9.85</v>
      </c>
    </row>
    <row r="150" spans="1:7" x14ac:dyDescent="0.2">
      <c r="A150" s="4">
        <v>45506</v>
      </c>
      <c r="B150" s="8">
        <v>9.85</v>
      </c>
      <c r="C150" s="8">
        <v>9.9</v>
      </c>
      <c r="D150" s="8">
        <v>9.7100000000000009</v>
      </c>
      <c r="E150" s="8">
        <v>9.9</v>
      </c>
      <c r="F150" s="4">
        <v>45506</v>
      </c>
      <c r="G150" s="8">
        <v>9.9</v>
      </c>
    </row>
    <row r="151" spans="1:7" x14ac:dyDescent="0.2">
      <c r="A151" s="4">
        <v>45509</v>
      </c>
      <c r="B151" s="8">
        <v>9.83</v>
      </c>
      <c r="C151" s="8">
        <v>9.83</v>
      </c>
      <c r="D151" s="8">
        <v>9.48</v>
      </c>
      <c r="E151" s="8">
        <v>9.5399999999999991</v>
      </c>
      <c r="F151" s="4">
        <v>45509</v>
      </c>
      <c r="G151" s="8">
        <v>9.5399999999999991</v>
      </c>
    </row>
    <row r="152" spans="1:7" x14ac:dyDescent="0.2">
      <c r="A152" s="4">
        <v>45510</v>
      </c>
      <c r="B152" s="8">
        <v>9.5399999999999991</v>
      </c>
      <c r="C152" s="8">
        <v>9.6199999999999992</v>
      </c>
      <c r="D152" s="8">
        <v>9.51</v>
      </c>
      <c r="E152" s="8">
        <v>9.5500000000000007</v>
      </c>
      <c r="F152" s="4">
        <v>45510</v>
      </c>
      <c r="G152" s="8">
        <v>9.5500000000000007</v>
      </c>
    </row>
    <row r="153" spans="1:7" x14ac:dyDescent="0.2">
      <c r="A153" s="4">
        <v>45511</v>
      </c>
      <c r="B153" s="8">
        <v>9.65</v>
      </c>
      <c r="C153" s="8">
        <v>9.74</v>
      </c>
      <c r="D153" s="8">
        <v>9.58</v>
      </c>
      <c r="E153" s="8">
        <v>9.7200000000000006</v>
      </c>
      <c r="F153" s="4">
        <v>45511</v>
      </c>
      <c r="G153" s="8">
        <v>9.7200000000000006</v>
      </c>
    </row>
    <row r="154" spans="1:7" x14ac:dyDescent="0.2">
      <c r="A154" s="4">
        <v>45512</v>
      </c>
      <c r="B154" s="8">
        <v>9.66</v>
      </c>
      <c r="C154" s="8">
        <v>9.7899999999999991</v>
      </c>
      <c r="D154" s="8">
        <v>9.6</v>
      </c>
      <c r="E154" s="8">
        <v>9.7200000000000006</v>
      </c>
      <c r="F154" s="4">
        <v>45512</v>
      </c>
      <c r="G154" s="8">
        <v>9.7200000000000006</v>
      </c>
    </row>
    <row r="155" spans="1:7" x14ac:dyDescent="0.2">
      <c r="A155" s="4">
        <v>45513</v>
      </c>
      <c r="B155" s="8">
        <v>9.76</v>
      </c>
      <c r="C155" s="8">
        <v>9.7899999999999991</v>
      </c>
      <c r="D155" s="8">
        <v>9.6349999999999998</v>
      </c>
      <c r="E155" s="8">
        <v>9.77</v>
      </c>
      <c r="F155" s="4">
        <v>45513</v>
      </c>
      <c r="G155" s="8">
        <v>9.77</v>
      </c>
    </row>
    <row r="156" spans="1:7" x14ac:dyDescent="0.2">
      <c r="A156" s="4">
        <v>45516</v>
      </c>
      <c r="B156" s="8">
        <v>9.7899999999999991</v>
      </c>
      <c r="C156" s="8">
        <v>9.7899999999999991</v>
      </c>
      <c r="D156" s="8">
        <v>9.6199999999999992</v>
      </c>
      <c r="E156" s="8">
        <v>9.65</v>
      </c>
      <c r="F156" s="4">
        <v>45516</v>
      </c>
      <c r="G156" s="8">
        <v>9.65</v>
      </c>
    </row>
    <row r="157" spans="1:7" x14ac:dyDescent="0.2">
      <c r="A157" s="4">
        <v>45517</v>
      </c>
      <c r="B157" s="8">
        <v>9.7100000000000009</v>
      </c>
      <c r="C157" s="8">
        <v>9.73</v>
      </c>
      <c r="D157" s="8">
        <v>9.61</v>
      </c>
      <c r="E157" s="8">
        <v>9.68</v>
      </c>
      <c r="F157" s="4">
        <v>45517</v>
      </c>
      <c r="G157" s="8">
        <v>9.68</v>
      </c>
    </row>
    <row r="158" spans="1:7" x14ac:dyDescent="0.2">
      <c r="A158" s="4">
        <v>45518</v>
      </c>
      <c r="B158" s="8">
        <v>9.6999999999999993</v>
      </c>
      <c r="C158" s="8">
        <v>9.75</v>
      </c>
      <c r="D158" s="8">
        <v>9.59</v>
      </c>
      <c r="E158" s="8">
        <v>9.59</v>
      </c>
      <c r="F158" s="4">
        <v>45518</v>
      </c>
      <c r="G158" s="8">
        <v>9.59</v>
      </c>
    </row>
    <row r="159" spans="1:7" x14ac:dyDescent="0.2">
      <c r="A159" s="4">
        <v>45519</v>
      </c>
      <c r="B159" s="8">
        <v>9.6</v>
      </c>
      <c r="C159" s="8">
        <v>9.81</v>
      </c>
      <c r="D159" s="8">
        <v>9.57</v>
      </c>
      <c r="E159" s="8">
        <v>9.81</v>
      </c>
      <c r="F159" s="4">
        <v>45519</v>
      </c>
      <c r="G159" s="8">
        <v>9.81</v>
      </c>
    </row>
    <row r="160" spans="1:7" x14ac:dyDescent="0.2">
      <c r="A160" s="4">
        <v>45520</v>
      </c>
      <c r="B160" s="8">
        <v>9.75</v>
      </c>
      <c r="C160" s="8">
        <v>9.9499999999999993</v>
      </c>
      <c r="D160" s="8">
        <v>9.75</v>
      </c>
      <c r="E160" s="8">
        <v>9.92</v>
      </c>
      <c r="F160" s="4">
        <v>45520</v>
      </c>
      <c r="G160" s="8">
        <v>9.92</v>
      </c>
    </row>
    <row r="161" spans="1:7" x14ac:dyDescent="0.2">
      <c r="A161" s="4">
        <v>45523</v>
      </c>
      <c r="B161" s="8">
        <v>9.86</v>
      </c>
      <c r="C161" s="8">
        <v>10.039999999999999</v>
      </c>
      <c r="D161" s="8">
        <v>9.8000000000000007</v>
      </c>
      <c r="E161" s="8">
        <v>10</v>
      </c>
      <c r="F161" s="4">
        <v>45523</v>
      </c>
      <c r="G161" s="8">
        <v>10</v>
      </c>
    </row>
    <row r="162" spans="1:7" x14ac:dyDescent="0.2">
      <c r="A162" s="4">
        <v>45524</v>
      </c>
      <c r="B162" s="8">
        <v>10.050000000000001</v>
      </c>
      <c r="C162" s="8">
        <v>10.050000000000001</v>
      </c>
      <c r="D162" s="8">
        <v>9.9499999999999993</v>
      </c>
      <c r="E162" s="8">
        <v>10.02</v>
      </c>
      <c r="F162" s="4">
        <v>45524</v>
      </c>
      <c r="G162" s="8">
        <v>10.02</v>
      </c>
    </row>
    <row r="163" spans="1:7" x14ac:dyDescent="0.2">
      <c r="A163" s="4">
        <v>45525</v>
      </c>
      <c r="B163" s="8">
        <v>9.94</v>
      </c>
      <c r="C163" s="8">
        <v>10.08</v>
      </c>
      <c r="D163" s="8">
        <v>9.93</v>
      </c>
      <c r="E163" s="8">
        <v>10.07</v>
      </c>
      <c r="F163" s="4">
        <v>45525</v>
      </c>
      <c r="G163" s="8">
        <v>10.07</v>
      </c>
    </row>
    <row r="164" spans="1:7" x14ac:dyDescent="0.2">
      <c r="A164" s="4">
        <v>45526</v>
      </c>
      <c r="B164" s="8">
        <v>10.02</v>
      </c>
      <c r="C164" s="8">
        <v>10.1</v>
      </c>
      <c r="D164" s="8">
        <v>9.9600000000000009</v>
      </c>
      <c r="E164" s="8">
        <v>9.9600000000000009</v>
      </c>
      <c r="F164" s="4">
        <v>45526</v>
      </c>
      <c r="G164" s="8">
        <v>9.9600000000000009</v>
      </c>
    </row>
    <row r="165" spans="1:7" x14ac:dyDescent="0.2">
      <c r="A165" s="4">
        <v>45527</v>
      </c>
      <c r="B165" s="8">
        <v>9.9499999999999993</v>
      </c>
      <c r="C165" s="8">
        <v>10.14</v>
      </c>
      <c r="D165" s="8">
        <v>9.93</v>
      </c>
      <c r="E165" s="8">
        <v>10.14</v>
      </c>
      <c r="F165" s="4">
        <v>45527</v>
      </c>
      <c r="G165" s="8">
        <v>10.14</v>
      </c>
    </row>
    <row r="166" spans="1:7" x14ac:dyDescent="0.2">
      <c r="A166" s="4">
        <v>45530</v>
      </c>
      <c r="B166" s="8">
        <v>10.19</v>
      </c>
      <c r="C166" s="8">
        <v>10.26</v>
      </c>
      <c r="D166" s="8">
        <v>10.029999999999999</v>
      </c>
      <c r="E166" s="8">
        <v>10.029999999999999</v>
      </c>
      <c r="F166" s="4">
        <v>45530</v>
      </c>
      <c r="G166" s="8">
        <v>10.029999999999999</v>
      </c>
    </row>
    <row r="167" spans="1:7" x14ac:dyDescent="0.2">
      <c r="A167" s="4">
        <v>45531</v>
      </c>
      <c r="B167" s="8">
        <v>10.050000000000001</v>
      </c>
      <c r="C167" s="8">
        <v>10.06</v>
      </c>
      <c r="D167" s="8">
        <v>9.98</v>
      </c>
      <c r="E167" s="8">
        <v>10.02</v>
      </c>
      <c r="F167" s="4">
        <v>45531</v>
      </c>
      <c r="G167" s="8">
        <v>10.02</v>
      </c>
    </row>
    <row r="168" spans="1:7" x14ac:dyDescent="0.2">
      <c r="A168" s="4">
        <v>45532</v>
      </c>
      <c r="B168" s="8">
        <v>10.050000000000001</v>
      </c>
      <c r="C168" s="8">
        <v>10.15</v>
      </c>
      <c r="D168" s="8">
        <v>9.9749999999999996</v>
      </c>
      <c r="E168" s="8">
        <v>10.07</v>
      </c>
      <c r="F168" s="4">
        <v>45532</v>
      </c>
      <c r="G168" s="8">
        <v>10.07</v>
      </c>
    </row>
    <row r="169" spans="1:7" x14ac:dyDescent="0.2">
      <c r="A169" s="4">
        <v>45533</v>
      </c>
      <c r="B169" s="8">
        <v>10.01</v>
      </c>
      <c r="C169" s="8">
        <v>10.09</v>
      </c>
      <c r="D169" s="8">
        <v>9.99</v>
      </c>
      <c r="E169" s="8">
        <v>10.01</v>
      </c>
      <c r="F169" s="4">
        <v>45533</v>
      </c>
      <c r="G169" s="8">
        <v>10.01</v>
      </c>
    </row>
    <row r="170" spans="1:7" x14ac:dyDescent="0.2">
      <c r="A170" s="4">
        <v>45534</v>
      </c>
      <c r="B170" s="8">
        <v>10.1</v>
      </c>
      <c r="C170" s="8">
        <v>10.210000000000001</v>
      </c>
      <c r="D170" s="8">
        <v>10.08</v>
      </c>
      <c r="E170" s="8">
        <v>10.14</v>
      </c>
      <c r="F170" s="4">
        <v>45534</v>
      </c>
      <c r="G170" s="8">
        <v>10.14</v>
      </c>
    </row>
    <row r="171" spans="1:7" x14ac:dyDescent="0.2">
      <c r="A171" s="4">
        <v>45537</v>
      </c>
      <c r="B171" s="8">
        <v>10.17</v>
      </c>
      <c r="C171" s="8">
        <v>10.33</v>
      </c>
      <c r="D171" s="8">
        <v>10.119999999999999</v>
      </c>
      <c r="E171" s="8">
        <v>10.28</v>
      </c>
      <c r="F171" s="4">
        <v>45537</v>
      </c>
      <c r="G171" s="8">
        <v>10.28</v>
      </c>
    </row>
    <row r="172" spans="1:7" x14ac:dyDescent="0.2">
      <c r="A172" s="4">
        <v>45538</v>
      </c>
      <c r="B172" s="8">
        <v>10.050000000000001</v>
      </c>
      <c r="C172" s="8">
        <v>10.3</v>
      </c>
      <c r="D172" s="8">
        <v>10.050000000000001</v>
      </c>
      <c r="E172" s="8">
        <v>10.27</v>
      </c>
      <c r="F172" s="4">
        <v>45538</v>
      </c>
      <c r="G172" s="8">
        <v>10.27</v>
      </c>
    </row>
    <row r="173" spans="1:7" x14ac:dyDescent="0.2">
      <c r="A173" s="4">
        <v>45539</v>
      </c>
      <c r="B173" s="8">
        <v>10.29</v>
      </c>
      <c r="C173" s="8">
        <v>10.56</v>
      </c>
      <c r="D173" s="8">
        <v>10.27</v>
      </c>
      <c r="E173" s="8">
        <v>10.5</v>
      </c>
      <c r="F173" s="4">
        <v>45539</v>
      </c>
      <c r="G173" s="8">
        <v>10.5</v>
      </c>
    </row>
    <row r="174" spans="1:7" x14ac:dyDescent="0.2">
      <c r="A174" s="4">
        <v>45540</v>
      </c>
      <c r="B174" s="8">
        <v>10.6</v>
      </c>
      <c r="C174" s="8">
        <v>11.12</v>
      </c>
      <c r="D174" s="8">
        <v>10.565</v>
      </c>
      <c r="E174" s="8">
        <v>10.9</v>
      </c>
      <c r="F174" s="4">
        <v>45540</v>
      </c>
      <c r="G174" s="8">
        <v>10.9</v>
      </c>
    </row>
    <row r="175" spans="1:7" x14ac:dyDescent="0.2">
      <c r="A175" s="4">
        <v>45541</v>
      </c>
      <c r="B175" s="8">
        <v>10.91</v>
      </c>
      <c r="C175" s="8">
        <v>11.13</v>
      </c>
      <c r="D175" s="8">
        <v>10.81</v>
      </c>
      <c r="E175" s="8">
        <v>11.08</v>
      </c>
      <c r="F175" s="4">
        <v>45541</v>
      </c>
      <c r="G175" s="8">
        <v>11.08</v>
      </c>
    </row>
    <row r="176" spans="1:7" x14ac:dyDescent="0.2">
      <c r="A176" s="4">
        <v>45544</v>
      </c>
      <c r="B176" s="8">
        <v>10.98</v>
      </c>
      <c r="C176" s="8">
        <v>11.24</v>
      </c>
      <c r="D176" s="8">
        <v>10.95</v>
      </c>
      <c r="E176" s="8">
        <v>11.1</v>
      </c>
      <c r="F176" s="4">
        <v>45544</v>
      </c>
      <c r="G176" s="8">
        <v>11.1</v>
      </c>
    </row>
    <row r="177" spans="1:7" x14ac:dyDescent="0.2">
      <c r="A177" s="4">
        <v>45545</v>
      </c>
      <c r="B177" s="8">
        <v>11.2</v>
      </c>
      <c r="C177" s="8">
        <v>11.29</v>
      </c>
      <c r="D177" s="8">
        <v>11.06</v>
      </c>
      <c r="E177" s="8">
        <v>11.08</v>
      </c>
      <c r="F177" s="4">
        <v>45545</v>
      </c>
      <c r="G177" s="8">
        <v>11.08</v>
      </c>
    </row>
    <row r="178" spans="1:7" x14ac:dyDescent="0.2">
      <c r="A178" s="4">
        <v>45546</v>
      </c>
      <c r="B178" s="8">
        <v>11.2</v>
      </c>
      <c r="C178" s="8">
        <v>11.33</v>
      </c>
      <c r="D178" s="8">
        <v>11.16</v>
      </c>
      <c r="E178" s="8">
        <v>11.26</v>
      </c>
      <c r="F178" s="4">
        <v>45546</v>
      </c>
      <c r="G178" s="8">
        <v>11.26</v>
      </c>
    </row>
    <row r="179" spans="1:7" x14ac:dyDescent="0.2">
      <c r="A179" s="4">
        <v>45547</v>
      </c>
      <c r="B179" s="8">
        <v>11.36</v>
      </c>
      <c r="C179" s="8">
        <v>11.52</v>
      </c>
      <c r="D179" s="8">
        <v>11.26</v>
      </c>
      <c r="E179" s="8">
        <v>11.4</v>
      </c>
      <c r="F179" s="4">
        <v>45547</v>
      </c>
      <c r="G179" s="8">
        <v>11.4</v>
      </c>
    </row>
    <row r="180" spans="1:7" x14ac:dyDescent="0.2">
      <c r="A180" s="4">
        <v>45548</v>
      </c>
      <c r="B180" s="8">
        <v>11.42</v>
      </c>
      <c r="C180" s="8">
        <v>11.45</v>
      </c>
      <c r="D180" s="8">
        <v>11.22</v>
      </c>
      <c r="E180" s="8">
        <v>11.26</v>
      </c>
      <c r="F180" s="4">
        <v>45548</v>
      </c>
      <c r="G180" s="8">
        <v>11.26</v>
      </c>
    </row>
    <row r="181" spans="1:7" x14ac:dyDescent="0.2">
      <c r="A181" s="4">
        <v>45551</v>
      </c>
      <c r="B181" s="8">
        <v>11.4</v>
      </c>
      <c r="C181" s="8">
        <v>11.52</v>
      </c>
      <c r="D181" s="8">
        <v>11.11</v>
      </c>
      <c r="E181" s="8">
        <v>11.11</v>
      </c>
      <c r="F181" s="4">
        <v>45551</v>
      </c>
      <c r="G181" s="8">
        <v>11.11</v>
      </c>
    </row>
    <row r="182" spans="1:7" x14ac:dyDescent="0.2">
      <c r="A182" s="4">
        <v>45552</v>
      </c>
      <c r="B182" s="8">
        <v>11.1</v>
      </c>
      <c r="C182" s="8">
        <v>11.37</v>
      </c>
      <c r="D182" s="8">
        <v>11.09</v>
      </c>
      <c r="E182" s="8">
        <v>11.24</v>
      </c>
      <c r="F182" s="4">
        <v>45552</v>
      </c>
      <c r="G182" s="8">
        <v>11.24</v>
      </c>
    </row>
    <row r="183" spans="1:7" x14ac:dyDescent="0.2">
      <c r="A183" s="4">
        <v>45553</v>
      </c>
      <c r="B183" s="8">
        <v>11.66</v>
      </c>
      <c r="C183" s="8">
        <v>11.7</v>
      </c>
      <c r="D183" s="8">
        <v>11.15</v>
      </c>
      <c r="E183" s="8">
        <v>11.15</v>
      </c>
      <c r="F183" s="4">
        <v>45553</v>
      </c>
      <c r="G183" s="8">
        <v>11.15</v>
      </c>
    </row>
    <row r="184" spans="1:7" x14ac:dyDescent="0.2">
      <c r="A184" s="4">
        <v>45554</v>
      </c>
      <c r="B184" s="8">
        <v>11.4</v>
      </c>
      <c r="C184" s="8">
        <v>11.41</v>
      </c>
      <c r="D184" s="8">
        <v>11.18</v>
      </c>
      <c r="E184" s="8">
        <v>11.39</v>
      </c>
      <c r="F184" s="4">
        <v>45554</v>
      </c>
      <c r="G184" s="8">
        <v>11.39</v>
      </c>
    </row>
    <row r="185" spans="1:7" x14ac:dyDescent="0.2">
      <c r="A185" s="4">
        <v>45555</v>
      </c>
      <c r="B185" s="8">
        <v>11.43</v>
      </c>
      <c r="C185" s="8">
        <v>11.65</v>
      </c>
      <c r="D185" s="8">
        <v>11.2</v>
      </c>
      <c r="E185" s="8">
        <v>11.27</v>
      </c>
      <c r="F185" s="4">
        <v>45555</v>
      </c>
      <c r="G185" s="8">
        <v>11.27</v>
      </c>
    </row>
    <row r="186" spans="1:7" x14ac:dyDescent="0.2">
      <c r="A186" s="4">
        <v>45558</v>
      </c>
      <c r="B186" s="8">
        <v>11.32</v>
      </c>
      <c r="C186" s="8">
        <v>11.33</v>
      </c>
      <c r="D186" s="8">
        <v>11.17</v>
      </c>
      <c r="E186" s="8">
        <v>11.33</v>
      </c>
      <c r="F186" s="4">
        <v>45558</v>
      </c>
      <c r="G186" s="8">
        <v>11.33</v>
      </c>
    </row>
    <row r="187" spans="1:7" x14ac:dyDescent="0.2">
      <c r="A187" s="4">
        <v>45559</v>
      </c>
      <c r="B187" s="8">
        <v>11.33</v>
      </c>
      <c r="C187" s="8">
        <v>11.37</v>
      </c>
      <c r="D187" s="8">
        <v>11.14</v>
      </c>
      <c r="E187" s="8">
        <v>11.17</v>
      </c>
      <c r="F187" s="4">
        <v>45559</v>
      </c>
      <c r="G187" s="8">
        <v>11.17</v>
      </c>
    </row>
    <row r="188" spans="1:7" x14ac:dyDescent="0.2">
      <c r="A188" s="4">
        <v>45560</v>
      </c>
      <c r="B188" s="8">
        <v>11.17</v>
      </c>
      <c r="C188" s="8">
        <v>11.17</v>
      </c>
      <c r="D188" s="8">
        <v>11.02</v>
      </c>
      <c r="E188" s="8">
        <v>11.14</v>
      </c>
      <c r="F188" s="4">
        <v>45560</v>
      </c>
      <c r="G188" s="8">
        <v>11.14</v>
      </c>
    </row>
    <row r="189" spans="1:7" x14ac:dyDescent="0.2">
      <c r="A189" s="4">
        <v>45561</v>
      </c>
      <c r="B189" s="8">
        <v>11.18</v>
      </c>
      <c r="C189" s="8">
        <v>11.35</v>
      </c>
      <c r="D189" s="8">
        <v>11.16</v>
      </c>
      <c r="E189" s="8">
        <v>11.31</v>
      </c>
      <c r="F189" s="4">
        <v>45561</v>
      </c>
      <c r="G189" s="8">
        <v>11.31</v>
      </c>
    </row>
    <row r="190" spans="1:7" x14ac:dyDescent="0.2">
      <c r="A190" s="4">
        <v>45562</v>
      </c>
      <c r="B190" s="8">
        <v>11.34</v>
      </c>
      <c r="C190" s="8">
        <v>11.59</v>
      </c>
      <c r="D190" s="8">
        <v>11.34</v>
      </c>
      <c r="E190" s="8">
        <v>11.42</v>
      </c>
      <c r="F190" s="4">
        <v>45562</v>
      </c>
      <c r="G190" s="8">
        <v>11.42</v>
      </c>
    </row>
    <row r="191" spans="1:7" x14ac:dyDescent="0.2">
      <c r="A191" s="4">
        <v>45565</v>
      </c>
      <c r="B191" s="8">
        <v>11.55</v>
      </c>
      <c r="C191" s="8">
        <v>11.55</v>
      </c>
      <c r="D191" s="8">
        <v>11.25</v>
      </c>
      <c r="E191" s="8">
        <v>11.41</v>
      </c>
      <c r="F191" s="4">
        <v>45565</v>
      </c>
      <c r="G191" s="8">
        <v>11.41</v>
      </c>
    </row>
    <row r="192" spans="1:7" x14ac:dyDescent="0.2">
      <c r="A192" s="4">
        <v>45566</v>
      </c>
      <c r="B192" s="8">
        <v>11.45</v>
      </c>
      <c r="C192" s="8">
        <v>11.45</v>
      </c>
      <c r="D192" s="8">
        <v>11.07</v>
      </c>
      <c r="E192" s="8">
        <v>11.17</v>
      </c>
      <c r="F192" s="4">
        <v>45566</v>
      </c>
      <c r="G192" s="8">
        <v>11.17</v>
      </c>
    </row>
    <row r="193" spans="1:7" x14ac:dyDescent="0.2">
      <c r="A193" s="4">
        <v>45567</v>
      </c>
      <c r="B193" s="8">
        <v>11.13</v>
      </c>
      <c r="C193" s="8">
        <v>11.23</v>
      </c>
      <c r="D193" s="8">
        <v>11.09</v>
      </c>
      <c r="E193" s="8">
        <v>11.18</v>
      </c>
      <c r="F193" s="4">
        <v>45567</v>
      </c>
      <c r="G193" s="8">
        <v>11.18</v>
      </c>
    </row>
    <row r="194" spans="1:7" x14ac:dyDescent="0.2">
      <c r="A194" s="4">
        <v>45568</v>
      </c>
      <c r="B194" s="8">
        <v>11.24</v>
      </c>
      <c r="C194" s="8">
        <v>11.24</v>
      </c>
      <c r="D194" s="8">
        <v>10.96</v>
      </c>
      <c r="E194" s="8">
        <v>11.08</v>
      </c>
      <c r="F194" s="4">
        <v>45568</v>
      </c>
      <c r="G194" s="8">
        <v>11.08</v>
      </c>
    </row>
    <row r="195" spans="1:7" x14ac:dyDescent="0.2">
      <c r="A195" s="4">
        <v>45569</v>
      </c>
      <c r="B195" s="8">
        <v>11.11</v>
      </c>
      <c r="C195" s="8">
        <v>11.25</v>
      </c>
      <c r="D195" s="8">
        <v>10.99</v>
      </c>
      <c r="E195" s="8">
        <v>11.08</v>
      </c>
      <c r="F195" s="4">
        <v>45569</v>
      </c>
      <c r="G195" s="8">
        <v>11.08</v>
      </c>
    </row>
    <row r="196" spans="1:7" x14ac:dyDescent="0.2">
      <c r="A196" s="4">
        <v>45572</v>
      </c>
      <c r="B196" s="8">
        <v>11.16</v>
      </c>
      <c r="C196" s="8">
        <v>11.2</v>
      </c>
      <c r="D196" s="8">
        <v>11.08</v>
      </c>
      <c r="E196" s="8">
        <v>11.16</v>
      </c>
      <c r="F196" s="4">
        <v>45572</v>
      </c>
      <c r="G196" s="8">
        <v>11.16</v>
      </c>
    </row>
    <row r="197" spans="1:7" x14ac:dyDescent="0.2">
      <c r="A197" s="4">
        <v>45573</v>
      </c>
      <c r="B197" s="8">
        <v>11.16</v>
      </c>
      <c r="C197" s="8">
        <v>11.16</v>
      </c>
      <c r="D197" s="8">
        <v>11</v>
      </c>
      <c r="E197" s="8">
        <v>11.04</v>
      </c>
      <c r="F197" s="4">
        <v>45573</v>
      </c>
      <c r="G197" s="8">
        <v>11.04</v>
      </c>
    </row>
    <row r="198" spans="1:7" x14ac:dyDescent="0.2">
      <c r="A198" s="4">
        <v>45574</v>
      </c>
      <c r="B198" s="8">
        <v>11.04</v>
      </c>
      <c r="C198" s="8">
        <v>11.19</v>
      </c>
      <c r="D198" s="8">
        <v>11</v>
      </c>
      <c r="E198" s="8">
        <v>11.17</v>
      </c>
      <c r="F198" s="4">
        <v>45574</v>
      </c>
      <c r="G198" s="8">
        <v>11.17</v>
      </c>
    </row>
    <row r="199" spans="1:7" x14ac:dyDescent="0.2">
      <c r="A199" s="4">
        <v>45575</v>
      </c>
      <c r="B199" s="8">
        <v>11.2</v>
      </c>
      <c r="C199" s="8">
        <v>11.2</v>
      </c>
      <c r="D199" s="8">
        <v>10.87</v>
      </c>
      <c r="E199" s="8">
        <v>10.9</v>
      </c>
      <c r="F199" s="4">
        <v>45575</v>
      </c>
      <c r="G199" s="8">
        <v>10.9</v>
      </c>
    </row>
    <row r="200" spans="1:7" x14ac:dyDescent="0.2">
      <c r="A200" s="4">
        <v>45576</v>
      </c>
      <c r="B200" s="8">
        <v>10.91</v>
      </c>
      <c r="C200" s="8">
        <v>11.175000000000001</v>
      </c>
      <c r="D200" s="8">
        <v>10.9</v>
      </c>
      <c r="E200" s="8">
        <v>11.16</v>
      </c>
      <c r="F200" s="4">
        <v>45576</v>
      </c>
      <c r="G200" s="8">
        <v>11.16</v>
      </c>
    </row>
    <row r="201" spans="1:7" x14ac:dyDescent="0.2">
      <c r="A201" s="4">
        <v>45579</v>
      </c>
      <c r="B201" s="8">
        <v>11.16</v>
      </c>
      <c r="C201" s="8">
        <v>11.18</v>
      </c>
      <c r="D201" s="8">
        <v>10.97</v>
      </c>
      <c r="E201" s="8">
        <v>11.06</v>
      </c>
      <c r="F201" s="4">
        <v>45579</v>
      </c>
      <c r="G201" s="8">
        <v>11.06</v>
      </c>
    </row>
    <row r="202" spans="1:7" x14ac:dyDescent="0.2">
      <c r="A202" s="4">
        <v>45580</v>
      </c>
      <c r="B202" s="8">
        <v>11.1</v>
      </c>
      <c r="C202" s="8">
        <v>11.2</v>
      </c>
      <c r="D202" s="8">
        <v>10.97</v>
      </c>
      <c r="E202" s="8">
        <v>11.12</v>
      </c>
      <c r="F202" s="4">
        <v>45580</v>
      </c>
      <c r="G202" s="8">
        <v>11.12</v>
      </c>
    </row>
    <row r="203" spans="1:7" x14ac:dyDescent="0.2">
      <c r="A203" s="4">
        <v>45581</v>
      </c>
      <c r="B203" s="8">
        <v>11.06</v>
      </c>
      <c r="C203" s="8">
        <v>11.08</v>
      </c>
      <c r="D203" s="8">
        <v>10.87</v>
      </c>
      <c r="E203" s="8">
        <v>10.89</v>
      </c>
      <c r="F203" s="4">
        <v>45581</v>
      </c>
      <c r="G203" s="8">
        <v>10.89</v>
      </c>
    </row>
    <row r="204" spans="1:7" x14ac:dyDescent="0.2">
      <c r="A204" s="4">
        <v>45582</v>
      </c>
      <c r="B204" s="8">
        <v>11.15</v>
      </c>
      <c r="C204" s="8">
        <v>11.15</v>
      </c>
      <c r="D204" s="8">
        <v>10.87</v>
      </c>
      <c r="E204" s="8">
        <v>11.07</v>
      </c>
      <c r="F204" s="4">
        <v>45582</v>
      </c>
      <c r="G204" s="8">
        <v>11.07</v>
      </c>
    </row>
    <row r="205" spans="1:7" x14ac:dyDescent="0.2">
      <c r="A205" s="4">
        <v>45583</v>
      </c>
      <c r="B205" s="8">
        <v>11.1</v>
      </c>
      <c r="C205" s="8">
        <v>11.13</v>
      </c>
      <c r="D205" s="8">
        <v>11</v>
      </c>
      <c r="E205" s="8">
        <v>11.12</v>
      </c>
      <c r="F205" s="4">
        <v>45583</v>
      </c>
      <c r="G205" s="8">
        <v>11.12</v>
      </c>
    </row>
    <row r="206" spans="1:7" x14ac:dyDescent="0.2">
      <c r="A206" s="4">
        <v>45586</v>
      </c>
      <c r="B206" s="8">
        <v>11.12</v>
      </c>
      <c r="C206" s="8">
        <v>11.32</v>
      </c>
      <c r="D206" s="8">
        <v>11.03</v>
      </c>
      <c r="E206" s="8">
        <v>11.27</v>
      </c>
      <c r="F206" s="4">
        <v>45586</v>
      </c>
      <c r="G206" s="8">
        <v>11.27</v>
      </c>
    </row>
    <row r="207" spans="1:7" x14ac:dyDescent="0.2">
      <c r="A207" s="4">
        <v>45587</v>
      </c>
      <c r="B207" s="8">
        <v>11.14</v>
      </c>
      <c r="C207" s="8">
        <v>11.53</v>
      </c>
      <c r="D207" s="8">
        <v>11.1</v>
      </c>
      <c r="E207" s="8">
        <v>11.46</v>
      </c>
      <c r="F207" s="4">
        <v>45587</v>
      </c>
      <c r="G207" s="8">
        <v>11.46</v>
      </c>
    </row>
    <row r="208" spans="1:7" x14ac:dyDescent="0.2">
      <c r="A208" s="4">
        <v>45588</v>
      </c>
      <c r="B208" s="8">
        <v>11.43</v>
      </c>
      <c r="C208" s="8">
        <v>11.62</v>
      </c>
      <c r="D208" s="8">
        <v>11.35</v>
      </c>
      <c r="E208" s="8">
        <v>11.62</v>
      </c>
      <c r="F208" s="4">
        <v>45588</v>
      </c>
      <c r="G208" s="8">
        <v>11.62</v>
      </c>
    </row>
    <row r="209" spans="1:7" x14ac:dyDescent="0.2">
      <c r="A209" s="4">
        <v>45589</v>
      </c>
      <c r="B209" s="8">
        <v>11.62</v>
      </c>
      <c r="C209" s="8">
        <v>12.05</v>
      </c>
      <c r="D209" s="8">
        <v>11.54</v>
      </c>
      <c r="E209" s="8">
        <v>11.78</v>
      </c>
      <c r="F209" s="4">
        <v>45589</v>
      </c>
      <c r="G209" s="8">
        <v>11.78</v>
      </c>
    </row>
    <row r="210" spans="1:7" x14ac:dyDescent="0.2">
      <c r="A210" s="4">
        <v>45590</v>
      </c>
      <c r="B210" s="8">
        <v>11.86</v>
      </c>
      <c r="C210" s="8">
        <v>11.88</v>
      </c>
      <c r="D210" s="8">
        <v>11.65</v>
      </c>
      <c r="E210" s="8">
        <v>11.66</v>
      </c>
      <c r="F210" s="4">
        <v>45590</v>
      </c>
      <c r="G210" s="8">
        <v>11.66</v>
      </c>
    </row>
    <row r="211" spans="1:7" x14ac:dyDescent="0.2">
      <c r="A211" s="4">
        <v>45593</v>
      </c>
      <c r="B211" s="8">
        <v>11.68</v>
      </c>
      <c r="C211" s="8">
        <v>11.98</v>
      </c>
      <c r="D211" s="8">
        <v>11.67</v>
      </c>
      <c r="E211" s="8">
        <v>11.95</v>
      </c>
      <c r="F211" s="4">
        <v>45593</v>
      </c>
      <c r="G211" s="8">
        <v>11.95</v>
      </c>
    </row>
    <row r="212" spans="1:7" x14ac:dyDescent="0.2">
      <c r="A212" s="4">
        <v>45594</v>
      </c>
      <c r="B212" s="8">
        <v>12.04</v>
      </c>
      <c r="C212" s="8">
        <v>12.04</v>
      </c>
      <c r="D212" s="8">
        <v>11.85</v>
      </c>
      <c r="E212" s="8">
        <v>11.97</v>
      </c>
      <c r="F212" s="4">
        <v>45594</v>
      </c>
      <c r="G212" s="8">
        <v>11.97</v>
      </c>
    </row>
    <row r="213" spans="1:7" x14ac:dyDescent="0.2">
      <c r="A213" s="4">
        <v>45595</v>
      </c>
      <c r="B213" s="8">
        <v>12</v>
      </c>
      <c r="C213" s="8">
        <v>12</v>
      </c>
      <c r="D213" s="8">
        <v>11.67</v>
      </c>
      <c r="E213" s="8">
        <v>11.67</v>
      </c>
      <c r="F213" s="4">
        <v>45595</v>
      </c>
      <c r="G213" s="8">
        <v>11.67</v>
      </c>
    </row>
    <row r="214" spans="1:7" x14ac:dyDescent="0.2">
      <c r="A214" s="4">
        <v>45596</v>
      </c>
      <c r="B214" s="8">
        <v>11.7</v>
      </c>
      <c r="C214" s="8">
        <v>11.71</v>
      </c>
      <c r="D214" s="8">
        <v>11.45</v>
      </c>
      <c r="E214" s="8">
        <v>11.5</v>
      </c>
      <c r="F214" s="4">
        <v>45596</v>
      </c>
      <c r="G214" s="8">
        <v>11.5</v>
      </c>
    </row>
    <row r="215" spans="1:7" x14ac:dyDescent="0.2">
      <c r="A215" s="4">
        <v>45597</v>
      </c>
      <c r="B215" s="8">
        <v>11.44</v>
      </c>
      <c r="C215" s="8">
        <v>11.615</v>
      </c>
      <c r="D215" s="8">
        <v>11.41</v>
      </c>
      <c r="E215" s="8">
        <v>11.61</v>
      </c>
      <c r="F215" s="4">
        <v>45597</v>
      </c>
      <c r="G215" s="8">
        <v>11.61</v>
      </c>
    </row>
    <row r="216" spans="1:7" x14ac:dyDescent="0.2">
      <c r="A216" s="4">
        <v>45600</v>
      </c>
      <c r="B216" s="8">
        <v>11.61</v>
      </c>
      <c r="C216" s="8">
        <v>11.725</v>
      </c>
      <c r="D216" s="8">
        <v>11.41</v>
      </c>
      <c r="E216" s="8">
        <v>11.58</v>
      </c>
      <c r="F216" s="4">
        <v>45600</v>
      </c>
      <c r="G216" s="8">
        <v>11.58</v>
      </c>
    </row>
    <row r="217" spans="1:7" x14ac:dyDescent="0.2">
      <c r="A217" s="4">
        <v>45601</v>
      </c>
      <c r="B217" s="8">
        <v>11.55</v>
      </c>
      <c r="C217" s="8">
        <v>11.6</v>
      </c>
      <c r="D217" s="8">
        <v>11.45</v>
      </c>
      <c r="E217" s="8">
        <v>11.46</v>
      </c>
      <c r="F217" s="4">
        <v>45601</v>
      </c>
      <c r="G217" s="8">
        <v>11.46</v>
      </c>
    </row>
    <row r="218" spans="1:7" x14ac:dyDescent="0.2">
      <c r="A218" s="4">
        <v>45602</v>
      </c>
      <c r="B218" s="8">
        <v>11.7</v>
      </c>
      <c r="C218" s="8">
        <v>11.75</v>
      </c>
      <c r="D218" s="8">
        <v>11.55</v>
      </c>
      <c r="E218" s="8">
        <v>11.66</v>
      </c>
      <c r="F218" s="4">
        <v>45602</v>
      </c>
      <c r="G218" s="8">
        <v>11.66</v>
      </c>
    </row>
    <row r="219" spans="1:7" x14ac:dyDescent="0.2">
      <c r="A219" s="4">
        <v>45603</v>
      </c>
      <c r="B219" s="8">
        <v>11.69</v>
      </c>
      <c r="C219" s="8">
        <v>11.69</v>
      </c>
      <c r="D219" s="8">
        <v>11.345000000000001</v>
      </c>
      <c r="E219" s="8">
        <v>11.4</v>
      </c>
      <c r="F219" s="4">
        <v>45603</v>
      </c>
      <c r="G219" s="8">
        <v>11.4</v>
      </c>
    </row>
    <row r="220" spans="1:7" x14ac:dyDescent="0.2">
      <c r="A220" s="4">
        <v>45604</v>
      </c>
      <c r="B220" s="8">
        <v>11.67</v>
      </c>
      <c r="C220" s="8">
        <v>11.67</v>
      </c>
      <c r="D220" s="8">
        <v>11.3</v>
      </c>
      <c r="E220" s="8">
        <v>11.3</v>
      </c>
      <c r="F220" s="4">
        <v>45604</v>
      </c>
      <c r="G220" s="8">
        <v>11.3</v>
      </c>
    </row>
    <row r="221" spans="1:7" x14ac:dyDescent="0.2">
      <c r="A221" s="4">
        <v>45607</v>
      </c>
      <c r="B221" s="8">
        <v>11.22</v>
      </c>
      <c r="C221" s="8">
        <v>11.28</v>
      </c>
      <c r="D221" s="8">
        <v>11.03</v>
      </c>
      <c r="E221" s="8">
        <v>11.04</v>
      </c>
      <c r="F221" s="4">
        <v>45607</v>
      </c>
      <c r="G221" s="8">
        <v>11.04</v>
      </c>
    </row>
    <row r="222" spans="1:7" x14ac:dyDescent="0.2">
      <c r="A222" s="4">
        <v>45608</v>
      </c>
      <c r="B222" s="8">
        <v>11.24</v>
      </c>
      <c r="C222" s="8">
        <v>11.24</v>
      </c>
      <c r="D222" s="8">
        <v>10.975</v>
      </c>
      <c r="E222" s="8">
        <v>11.13</v>
      </c>
      <c r="F222" s="4">
        <v>45608</v>
      </c>
      <c r="G222" s="8">
        <v>11.13</v>
      </c>
    </row>
    <row r="223" spans="1:7" x14ac:dyDescent="0.2">
      <c r="A223" s="4">
        <v>45609</v>
      </c>
      <c r="B223" s="8">
        <v>11.12</v>
      </c>
      <c r="C223" s="8">
        <v>11.28</v>
      </c>
      <c r="D223" s="8">
        <v>10.99</v>
      </c>
      <c r="E223" s="8">
        <v>11.27</v>
      </c>
      <c r="F223" s="4">
        <v>45609</v>
      </c>
      <c r="G223" s="8">
        <v>11.27</v>
      </c>
    </row>
    <row r="224" spans="1:7" x14ac:dyDescent="0.2">
      <c r="A224" s="4">
        <v>45610</v>
      </c>
      <c r="B224" s="8">
        <v>11.01</v>
      </c>
      <c r="C224" s="8">
        <v>11.5</v>
      </c>
      <c r="D224" s="8">
        <v>11.01</v>
      </c>
      <c r="E224" s="8">
        <v>11.29</v>
      </c>
      <c r="F224" s="4">
        <v>45610</v>
      </c>
      <c r="G224" s="8">
        <v>11.29</v>
      </c>
    </row>
    <row r="225" spans="1:7" x14ac:dyDescent="0.2">
      <c r="A225" s="4">
        <v>45611</v>
      </c>
      <c r="B225" s="8">
        <v>11.41</v>
      </c>
      <c r="C225" s="8">
        <v>11.6</v>
      </c>
      <c r="D225" s="8">
        <v>11.38</v>
      </c>
      <c r="E225" s="8">
        <v>11.41</v>
      </c>
      <c r="F225" s="4">
        <v>45611</v>
      </c>
      <c r="G225" s="8">
        <v>11.41</v>
      </c>
    </row>
    <row r="226" spans="1:7" x14ac:dyDescent="0.2">
      <c r="A226" s="4">
        <v>45614</v>
      </c>
      <c r="B226" s="8">
        <v>11.41</v>
      </c>
      <c r="C226" s="8">
        <v>11.41</v>
      </c>
      <c r="D226" s="8">
        <v>11.18</v>
      </c>
      <c r="E226" s="8">
        <v>11.25</v>
      </c>
      <c r="F226" s="4">
        <v>45614</v>
      </c>
      <c r="G226" s="8">
        <v>11.25</v>
      </c>
    </row>
    <row r="227" spans="1:7" x14ac:dyDescent="0.2">
      <c r="A227" s="4">
        <v>45615</v>
      </c>
      <c r="B227" s="8">
        <v>11.38</v>
      </c>
      <c r="C227" s="8">
        <v>11.38</v>
      </c>
      <c r="D227" s="8">
        <v>11</v>
      </c>
      <c r="E227" s="8">
        <v>11.01</v>
      </c>
      <c r="F227" s="4">
        <v>45615</v>
      </c>
      <c r="G227" s="8">
        <v>11.01</v>
      </c>
    </row>
    <row r="228" spans="1:7" x14ac:dyDescent="0.2">
      <c r="A228" s="4">
        <v>45616</v>
      </c>
      <c r="B228" s="8">
        <v>11.05</v>
      </c>
      <c r="C228" s="8">
        <v>11.19</v>
      </c>
      <c r="D228" s="8">
        <v>10.81</v>
      </c>
      <c r="E228" s="8">
        <v>11.08</v>
      </c>
      <c r="F228" s="4">
        <v>45616</v>
      </c>
      <c r="G228" s="8">
        <v>11.08</v>
      </c>
    </row>
    <row r="229" spans="1:7" x14ac:dyDescent="0.2">
      <c r="A229" s="4">
        <v>45617</v>
      </c>
      <c r="B229" s="8">
        <v>11.2</v>
      </c>
      <c r="C229" s="8">
        <v>11.28</v>
      </c>
      <c r="D229" s="8">
        <v>11.13</v>
      </c>
      <c r="E229" s="8">
        <v>11.19</v>
      </c>
      <c r="F229" s="4">
        <v>45617</v>
      </c>
      <c r="G229" s="8">
        <v>11.19</v>
      </c>
    </row>
    <row r="230" spans="1:7" x14ac:dyDescent="0.2">
      <c r="A230" s="4">
        <v>45618</v>
      </c>
      <c r="B230" s="8">
        <v>11.42</v>
      </c>
      <c r="C230" s="8">
        <v>11.42</v>
      </c>
      <c r="D230" s="8">
        <v>11.02</v>
      </c>
      <c r="E230" s="8">
        <v>11.2</v>
      </c>
      <c r="F230" s="4">
        <v>45618</v>
      </c>
      <c r="G230" s="8">
        <v>11.2</v>
      </c>
    </row>
    <row r="231" spans="1:7" x14ac:dyDescent="0.2">
      <c r="A231" s="4">
        <v>45621</v>
      </c>
      <c r="B231" s="8">
        <v>11.23</v>
      </c>
      <c r="C231" s="8">
        <v>11.65</v>
      </c>
      <c r="D231" s="8">
        <v>11.2</v>
      </c>
      <c r="E231" s="8">
        <v>11.42</v>
      </c>
      <c r="F231" s="4">
        <v>45621</v>
      </c>
      <c r="G231" s="8">
        <v>11.42</v>
      </c>
    </row>
    <row r="232" spans="1:7" x14ac:dyDescent="0.2">
      <c r="A232" s="4">
        <v>45622</v>
      </c>
      <c r="B232" s="8">
        <v>11.4</v>
      </c>
      <c r="C232" s="8">
        <v>11.46</v>
      </c>
      <c r="D232" s="8">
        <v>11.2</v>
      </c>
      <c r="E232" s="8">
        <v>11.4</v>
      </c>
      <c r="F232" s="4">
        <v>45622</v>
      </c>
      <c r="G232" s="8">
        <v>11.4</v>
      </c>
    </row>
    <row r="233" spans="1:7" x14ac:dyDescent="0.2">
      <c r="A233" s="4">
        <v>45623</v>
      </c>
      <c r="B233" s="8">
        <v>11.67</v>
      </c>
      <c r="C233" s="8">
        <v>11.7</v>
      </c>
      <c r="D233" s="8">
        <v>11.27</v>
      </c>
      <c r="E233" s="8">
        <v>11.6</v>
      </c>
      <c r="F233" s="4">
        <v>45623</v>
      </c>
      <c r="G233" s="8">
        <v>11.6</v>
      </c>
    </row>
    <row r="234" spans="1:7" x14ac:dyDescent="0.2">
      <c r="A234" s="4">
        <v>45624</v>
      </c>
      <c r="B234" s="8">
        <v>11.57</v>
      </c>
      <c r="C234" s="8">
        <v>11.84</v>
      </c>
      <c r="D234" s="8">
        <v>11.57</v>
      </c>
      <c r="E234" s="8">
        <v>11.57</v>
      </c>
      <c r="F234" s="4">
        <v>45624</v>
      </c>
      <c r="G234" s="8">
        <v>11.57</v>
      </c>
    </row>
    <row r="235" spans="1:7" x14ac:dyDescent="0.2">
      <c r="A235" s="4">
        <v>45625</v>
      </c>
      <c r="B235" s="8">
        <v>11.57</v>
      </c>
      <c r="C235" s="8">
        <v>11.73</v>
      </c>
      <c r="D235" s="8">
        <v>11.52</v>
      </c>
      <c r="E235" s="8">
        <v>11.63</v>
      </c>
      <c r="F235" s="4">
        <v>45625</v>
      </c>
      <c r="G235" s="8">
        <v>11.63</v>
      </c>
    </row>
    <row r="236" spans="1:7" x14ac:dyDescent="0.2">
      <c r="A236" s="4">
        <v>45628</v>
      </c>
      <c r="B236" s="8">
        <v>11.75</v>
      </c>
      <c r="C236" s="8">
        <v>11.75</v>
      </c>
      <c r="D236" s="8">
        <v>11.5</v>
      </c>
      <c r="E236" s="8">
        <v>11.61</v>
      </c>
      <c r="F236" s="4">
        <v>45628</v>
      </c>
      <c r="G236" s="8">
        <v>11.61</v>
      </c>
    </row>
    <row r="237" spans="1:7" x14ac:dyDescent="0.2">
      <c r="A237" s="4">
        <v>45629</v>
      </c>
      <c r="B237" s="8">
        <v>11.62</v>
      </c>
      <c r="C237" s="8">
        <v>11.64</v>
      </c>
      <c r="D237" s="8">
        <v>11.32</v>
      </c>
      <c r="E237" s="8">
        <v>11.34</v>
      </c>
      <c r="F237" s="4">
        <v>45629</v>
      </c>
      <c r="G237" s="8">
        <v>11.34</v>
      </c>
    </row>
    <row r="238" spans="1:7" x14ac:dyDescent="0.2">
      <c r="A238" s="4">
        <v>45630</v>
      </c>
      <c r="B238" s="8">
        <v>11.35</v>
      </c>
      <c r="C238" s="8">
        <v>11.36</v>
      </c>
      <c r="D238" s="8">
        <v>11.2</v>
      </c>
      <c r="E238" s="8">
        <v>11.36</v>
      </c>
      <c r="F238" s="4">
        <v>45630</v>
      </c>
      <c r="G238" s="8">
        <v>11.36</v>
      </c>
    </row>
    <row r="239" spans="1:7" x14ac:dyDescent="0.2">
      <c r="A239" s="4">
        <v>45631</v>
      </c>
      <c r="B239" s="8">
        <v>11.44</v>
      </c>
      <c r="C239" s="8">
        <v>11.63</v>
      </c>
      <c r="D239" s="8">
        <v>11.4</v>
      </c>
      <c r="E239" s="8">
        <v>11.58</v>
      </c>
      <c r="F239" s="4">
        <v>45631</v>
      </c>
      <c r="G239" s="8">
        <v>11.58</v>
      </c>
    </row>
    <row r="240" spans="1:7" x14ac:dyDescent="0.2">
      <c r="A240" s="4">
        <v>45632</v>
      </c>
      <c r="B240" s="8">
        <v>11.58</v>
      </c>
      <c r="C240" s="8">
        <v>11.58</v>
      </c>
      <c r="D240" s="8">
        <v>11.36</v>
      </c>
      <c r="E240" s="8">
        <v>11.36</v>
      </c>
      <c r="F240" s="4">
        <v>45632</v>
      </c>
      <c r="G240" s="8">
        <v>11.36</v>
      </c>
    </row>
    <row r="241" spans="1:7" x14ac:dyDescent="0.2">
      <c r="A241" s="4">
        <v>45635</v>
      </c>
      <c r="B241" s="8">
        <v>11.38</v>
      </c>
      <c r="C241" s="8">
        <v>11.6</v>
      </c>
      <c r="D241" s="8">
        <v>11.345000000000001</v>
      </c>
      <c r="E241" s="8">
        <v>11.44</v>
      </c>
      <c r="F241" s="4">
        <v>45635</v>
      </c>
      <c r="G241" s="8">
        <v>11.44</v>
      </c>
    </row>
    <row r="242" spans="1:7" x14ac:dyDescent="0.2">
      <c r="A242" s="4">
        <v>45636</v>
      </c>
      <c r="B242" s="8">
        <v>11.44</v>
      </c>
      <c r="C242" s="8">
        <v>11.44</v>
      </c>
      <c r="D242" s="8">
        <v>11.03</v>
      </c>
      <c r="E242" s="8">
        <v>11.09</v>
      </c>
      <c r="F242" s="4">
        <v>45636</v>
      </c>
      <c r="G242" s="8">
        <v>11.09</v>
      </c>
    </row>
    <row r="243" spans="1:7" x14ac:dyDescent="0.2">
      <c r="A243" s="4">
        <v>45637</v>
      </c>
      <c r="B243" s="8">
        <v>11.32</v>
      </c>
      <c r="C243" s="8">
        <v>11.32</v>
      </c>
      <c r="D243" s="8">
        <v>10.93</v>
      </c>
      <c r="E243" s="8">
        <v>10.93</v>
      </c>
      <c r="F243" s="4">
        <v>45637</v>
      </c>
      <c r="G243" s="8">
        <v>10.93</v>
      </c>
    </row>
    <row r="244" spans="1:7" x14ac:dyDescent="0.2">
      <c r="A244" s="4">
        <v>45638</v>
      </c>
      <c r="B244" s="8">
        <v>11.17</v>
      </c>
      <c r="C244" s="8">
        <v>11.17</v>
      </c>
      <c r="D244" s="8">
        <v>10.81</v>
      </c>
      <c r="E244" s="8">
        <v>10.87</v>
      </c>
      <c r="F244" s="4">
        <v>45638</v>
      </c>
      <c r="G244" s="8">
        <v>10.87</v>
      </c>
    </row>
    <row r="245" spans="1:7" x14ac:dyDescent="0.2">
      <c r="A245" s="4">
        <v>45639</v>
      </c>
      <c r="B245" s="8">
        <v>11.2</v>
      </c>
      <c r="C245" s="8">
        <v>11.2</v>
      </c>
      <c r="D245" s="8">
        <v>10.9</v>
      </c>
      <c r="E245" s="8">
        <v>10.97</v>
      </c>
      <c r="F245" s="4">
        <v>45639</v>
      </c>
      <c r="G245" s="8">
        <v>10.97</v>
      </c>
    </row>
    <row r="246" spans="1:7" x14ac:dyDescent="0.2">
      <c r="A246" s="4">
        <v>45642</v>
      </c>
      <c r="B246" s="8">
        <v>11.09</v>
      </c>
      <c r="C246" s="8">
        <v>11.29</v>
      </c>
      <c r="D246" s="8">
        <v>10.94</v>
      </c>
      <c r="E246" s="8">
        <v>10.98</v>
      </c>
      <c r="F246" s="4">
        <v>45642</v>
      </c>
      <c r="G246" s="8">
        <v>10.98</v>
      </c>
    </row>
    <row r="247" spans="1:7" x14ac:dyDescent="0.2">
      <c r="A247" s="4">
        <v>45643</v>
      </c>
      <c r="B247" s="8">
        <v>11.21</v>
      </c>
      <c r="C247" s="8">
        <v>11.35</v>
      </c>
      <c r="D247" s="8">
        <v>11.07</v>
      </c>
      <c r="E247" s="8">
        <v>11.3</v>
      </c>
      <c r="F247" s="4">
        <v>45643</v>
      </c>
      <c r="G247" s="8">
        <v>11.3</v>
      </c>
    </row>
    <row r="248" spans="1:7" x14ac:dyDescent="0.2">
      <c r="A248" s="4">
        <v>45644</v>
      </c>
      <c r="B248" s="8">
        <v>11.27</v>
      </c>
      <c r="C248" s="8">
        <v>11.33</v>
      </c>
      <c r="D248" s="8">
        <v>11.145</v>
      </c>
      <c r="E248" s="8">
        <v>11.26</v>
      </c>
      <c r="F248" s="4">
        <v>45644</v>
      </c>
      <c r="G248" s="8">
        <v>11.26</v>
      </c>
    </row>
    <row r="249" spans="1:7" x14ac:dyDescent="0.2">
      <c r="A249" s="4">
        <v>45645</v>
      </c>
      <c r="B249" s="8">
        <v>11.25</v>
      </c>
      <c r="C249" s="8">
        <v>11.25</v>
      </c>
      <c r="D249" s="8">
        <v>10.96</v>
      </c>
      <c r="E249" s="8">
        <v>10.96</v>
      </c>
      <c r="F249" s="4">
        <v>45645</v>
      </c>
      <c r="G249" s="8">
        <v>10.96</v>
      </c>
    </row>
    <row r="250" spans="1:7" x14ac:dyDescent="0.2">
      <c r="A250" s="4">
        <v>45646</v>
      </c>
      <c r="B250" s="8">
        <v>11.04</v>
      </c>
      <c r="C250" s="8">
        <v>11.44</v>
      </c>
      <c r="D250" s="8">
        <v>10.99</v>
      </c>
      <c r="E250" s="8">
        <v>11.35</v>
      </c>
      <c r="F250" s="4">
        <v>45646</v>
      </c>
      <c r="G250" s="8">
        <v>11.35</v>
      </c>
    </row>
    <row r="251" spans="1:7" x14ac:dyDescent="0.2">
      <c r="A251" s="4">
        <v>45649</v>
      </c>
      <c r="B251" s="8">
        <v>11.44</v>
      </c>
      <c r="C251" s="8">
        <v>11.5</v>
      </c>
      <c r="D251" s="8">
        <v>11.27</v>
      </c>
      <c r="E251" s="8">
        <v>11.39</v>
      </c>
      <c r="F251" s="4">
        <v>45649</v>
      </c>
      <c r="G251" s="8">
        <v>11.39</v>
      </c>
    </row>
    <row r="252" spans="1:7" x14ac:dyDescent="0.2">
      <c r="A252" s="4">
        <v>45650</v>
      </c>
      <c r="B252" s="8">
        <v>11.45</v>
      </c>
      <c r="C252" s="8">
        <v>11.56</v>
      </c>
      <c r="D252" s="8">
        <v>11.29</v>
      </c>
      <c r="E252" s="8">
        <v>11.56</v>
      </c>
      <c r="F252" s="4">
        <v>45650</v>
      </c>
      <c r="G252" s="8">
        <v>11.56</v>
      </c>
    </row>
    <row r="253" spans="1:7" x14ac:dyDescent="0.2">
      <c r="A253" s="4">
        <v>45653</v>
      </c>
      <c r="B253" s="8">
        <v>11.5</v>
      </c>
      <c r="C253" s="8">
        <v>11.57</v>
      </c>
      <c r="D253" s="8">
        <v>11.43</v>
      </c>
      <c r="E253" s="8">
        <v>11.55</v>
      </c>
      <c r="F253" s="4">
        <v>45653</v>
      </c>
      <c r="G253" s="8">
        <v>11.55</v>
      </c>
    </row>
    <row r="254" spans="1:7" x14ac:dyDescent="0.2">
      <c r="A254" s="4">
        <v>45656</v>
      </c>
      <c r="B254" s="8">
        <v>11.5</v>
      </c>
      <c r="C254" s="8">
        <v>11.58</v>
      </c>
      <c r="D254" s="8">
        <v>11.38</v>
      </c>
      <c r="E254" s="8">
        <v>11.57</v>
      </c>
      <c r="F254" s="4">
        <v>45656</v>
      </c>
      <c r="G254" s="8">
        <v>11.57</v>
      </c>
    </row>
    <row r="255" spans="1:7" x14ac:dyDescent="0.2">
      <c r="A255" s="4">
        <v>45657</v>
      </c>
      <c r="B255" s="8">
        <v>11.57</v>
      </c>
      <c r="C255" s="8">
        <v>11.57</v>
      </c>
      <c r="D255" s="8">
        <v>11.43</v>
      </c>
      <c r="E255" s="8">
        <v>11.57</v>
      </c>
      <c r="F255" s="4">
        <v>45657</v>
      </c>
      <c r="G255" s="8">
        <v>11.57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11ED-2AC2-484B-91DE-EEF016314344}">
  <dimension ref="A1:V255"/>
  <sheetViews>
    <sheetView tabSelected="1" zoomScale="85" zoomScaleNormal="85" workbookViewId="0">
      <selection activeCell="AC7" sqref="AC7"/>
    </sheetView>
  </sheetViews>
  <sheetFormatPr defaultRowHeight="12.75" x14ac:dyDescent="0.2"/>
  <cols>
    <col min="1" max="1" width="18" style="46" customWidth="1"/>
    <col min="2" max="2" width="10.85546875" style="8"/>
    <col min="6" max="6" width="8.7109375" customWidth="1"/>
    <col min="7" max="7" width="15.140625" style="8" customWidth="1"/>
    <col min="8" max="8" width="13.140625" style="46" customWidth="1"/>
    <col min="9" max="9" width="8.5703125" style="8" customWidth="1"/>
    <col min="10" max="10" width="9.140625" customWidth="1"/>
    <col min="11" max="12" width="15" style="8" customWidth="1"/>
    <col min="13" max="13" width="15.85546875" style="8" customWidth="1"/>
    <col min="14" max="14" width="12.28515625" style="8" customWidth="1"/>
    <col min="15" max="15" width="9" style="10" customWidth="1"/>
    <col min="16" max="16" width="10.140625" customWidth="1"/>
    <col min="17" max="17" width="10.42578125" customWidth="1"/>
    <col min="18" max="19" width="11.28515625" customWidth="1"/>
    <col min="20" max="20" width="12" customWidth="1"/>
    <col min="21" max="21" width="13.5703125" customWidth="1"/>
    <col min="22" max="22" width="12" customWidth="1"/>
  </cols>
  <sheetData>
    <row r="1" spans="1:22" ht="15.75" thickBot="1" x14ac:dyDescent="0.3">
      <c r="A1" s="47" t="s">
        <v>1</v>
      </c>
      <c r="B1" s="7" t="s">
        <v>5</v>
      </c>
      <c r="G1" s="34" t="s">
        <v>18</v>
      </c>
      <c r="H1" s="40" t="s">
        <v>1</v>
      </c>
      <c r="I1" s="36" t="s">
        <v>30</v>
      </c>
      <c r="J1" s="35" t="s">
        <v>29</v>
      </c>
      <c r="K1" s="36" t="s">
        <v>28</v>
      </c>
      <c r="L1" s="36" t="s">
        <v>16</v>
      </c>
      <c r="M1" s="36" t="s">
        <v>27</v>
      </c>
      <c r="N1" s="36" t="s">
        <v>26</v>
      </c>
      <c r="O1" s="37" t="s">
        <v>17</v>
      </c>
      <c r="P1" s="38" t="s">
        <v>19</v>
      </c>
      <c r="R1" s="79"/>
      <c r="S1" s="83" t="s">
        <v>1</v>
      </c>
      <c r="T1" s="73" t="s">
        <v>22</v>
      </c>
      <c r="U1" s="74" t="s">
        <v>24</v>
      </c>
      <c r="V1" s="72"/>
    </row>
    <row r="2" spans="1:22" x14ac:dyDescent="0.2">
      <c r="A2" s="48">
        <v>45293</v>
      </c>
      <c r="B2" s="8">
        <v>9.2799999999999994</v>
      </c>
      <c r="G2" s="14">
        <v>1000</v>
      </c>
      <c r="H2" s="41">
        <v>45293</v>
      </c>
      <c r="I2" s="15">
        <v>9.2799999999999994</v>
      </c>
      <c r="J2" s="16">
        <f>ROUNDDOWN(G2/I2,0)</f>
        <v>107</v>
      </c>
      <c r="K2" s="15">
        <f>J2*I2</f>
        <v>992.95999999999992</v>
      </c>
      <c r="L2" s="15">
        <v>0.19</v>
      </c>
      <c r="M2" s="15">
        <f>G2-K2</f>
        <v>7.0400000000000773</v>
      </c>
      <c r="N2" s="15">
        <f>K2+M2</f>
        <v>1000</v>
      </c>
      <c r="O2" s="17">
        <f>N2/1000</f>
        <v>1</v>
      </c>
      <c r="P2" s="18" t="s">
        <v>20</v>
      </c>
      <c r="Q2" s="1"/>
      <c r="R2" s="80" t="s">
        <v>23</v>
      </c>
      <c r="S2" s="82">
        <v>45293</v>
      </c>
      <c r="T2" s="39">
        <v>1000</v>
      </c>
      <c r="U2" s="75">
        <f>T2/T2</f>
        <v>1</v>
      </c>
      <c r="V2" s="43"/>
    </row>
    <row r="3" spans="1:22" ht="13.5" thickBot="1" x14ac:dyDescent="0.25">
      <c r="A3" s="48">
        <v>45294</v>
      </c>
      <c r="B3" s="8">
        <v>9.3000000000000007</v>
      </c>
      <c r="G3" s="29"/>
      <c r="H3" s="42">
        <v>45393</v>
      </c>
      <c r="I3" s="30">
        <v>10.199999999999999</v>
      </c>
      <c r="J3" s="31">
        <v>107</v>
      </c>
      <c r="K3" s="30">
        <f>J3*I3</f>
        <v>1091.3999999999999</v>
      </c>
      <c r="L3" s="30">
        <v>0.19</v>
      </c>
      <c r="M3" s="30">
        <f>M2+L3*J3</f>
        <v>27.370000000000079</v>
      </c>
      <c r="N3" s="30">
        <f>M3+K3</f>
        <v>1118.77</v>
      </c>
      <c r="O3" s="32">
        <f>N3/1000</f>
        <v>1.11877</v>
      </c>
      <c r="P3" s="33" t="s">
        <v>21</v>
      </c>
      <c r="Q3" s="1"/>
      <c r="R3" s="76" t="s">
        <v>25</v>
      </c>
      <c r="S3" s="81">
        <v>45657</v>
      </c>
      <c r="T3" s="77">
        <f>N12</f>
        <v>1755.6000000000001</v>
      </c>
      <c r="U3" s="78">
        <f>T3/T2</f>
        <v>1.7556</v>
      </c>
      <c r="V3" s="43"/>
    </row>
    <row r="4" spans="1:22" x14ac:dyDescent="0.2">
      <c r="A4" s="48">
        <v>45295</v>
      </c>
      <c r="B4" s="8">
        <v>9.69</v>
      </c>
      <c r="G4" s="11"/>
      <c r="H4" s="43"/>
      <c r="I4" s="9"/>
      <c r="J4" s="1"/>
      <c r="K4" s="9"/>
      <c r="L4" s="9"/>
      <c r="M4" s="9"/>
      <c r="N4" s="9"/>
      <c r="O4" s="12"/>
      <c r="P4" s="13"/>
      <c r="Q4" s="1"/>
      <c r="R4" s="1"/>
      <c r="S4" s="1"/>
      <c r="T4" s="1"/>
      <c r="U4" s="1"/>
    </row>
    <row r="5" spans="1:22" x14ac:dyDescent="0.2">
      <c r="A5" s="48">
        <v>45296</v>
      </c>
      <c r="B5" s="8">
        <v>9.34</v>
      </c>
      <c r="G5" s="24">
        <f>N3</f>
        <v>1118.77</v>
      </c>
      <c r="H5" s="44">
        <v>45426</v>
      </c>
      <c r="I5" s="25">
        <v>9.48</v>
      </c>
      <c r="J5" s="26">
        <f>ROUNDDOWN(G5/I5,0)</f>
        <v>118</v>
      </c>
      <c r="K5" s="25">
        <f>J5*I5</f>
        <v>1118.6400000000001</v>
      </c>
      <c r="L5" s="25">
        <v>0.19</v>
      </c>
      <c r="M5" s="25">
        <f>G5-K5</f>
        <v>0.12999999999988177</v>
      </c>
      <c r="N5" s="25">
        <f>G5</f>
        <v>1118.77</v>
      </c>
      <c r="O5" s="27">
        <f>N5/G5</f>
        <v>1</v>
      </c>
      <c r="P5" s="28" t="s">
        <v>20</v>
      </c>
      <c r="Q5" s="1"/>
      <c r="R5" s="1"/>
      <c r="S5" s="1"/>
      <c r="T5" s="1"/>
      <c r="U5" s="1"/>
    </row>
    <row r="6" spans="1:22" x14ac:dyDescent="0.2">
      <c r="A6" s="48">
        <v>45299</v>
      </c>
      <c r="B6" s="8">
        <v>9.5299999999999994</v>
      </c>
      <c r="G6" s="29"/>
      <c r="H6" s="42">
        <v>45449</v>
      </c>
      <c r="I6" s="30">
        <v>10.61</v>
      </c>
      <c r="J6" s="31">
        <f>J5</f>
        <v>118</v>
      </c>
      <c r="K6" s="30">
        <f>J6*I6</f>
        <v>1251.98</v>
      </c>
      <c r="L6" s="30">
        <v>0.19</v>
      </c>
      <c r="M6" s="30">
        <f>M5+L6*J6</f>
        <v>22.549999999999883</v>
      </c>
      <c r="N6" s="30">
        <f>K6+M6</f>
        <v>1274.53</v>
      </c>
      <c r="O6" s="32">
        <f>N6/G5</f>
        <v>1.139224326715947</v>
      </c>
      <c r="P6" s="33" t="s">
        <v>21</v>
      </c>
      <c r="Q6" s="1"/>
      <c r="R6" s="1"/>
      <c r="S6" s="1"/>
      <c r="T6" s="1"/>
      <c r="U6" s="1"/>
    </row>
    <row r="7" spans="1:22" x14ac:dyDescent="0.2">
      <c r="A7" s="48">
        <v>45300</v>
      </c>
      <c r="B7" s="8">
        <v>9.51</v>
      </c>
      <c r="G7" s="11"/>
      <c r="H7" s="43"/>
      <c r="I7" s="9"/>
      <c r="J7" s="1"/>
      <c r="K7" s="9"/>
      <c r="L7" s="9"/>
      <c r="M7" s="9"/>
      <c r="N7" s="9"/>
      <c r="O7" s="12"/>
      <c r="P7" s="13"/>
      <c r="Q7" s="1"/>
      <c r="R7" s="1"/>
      <c r="S7" s="1"/>
      <c r="T7" s="1"/>
      <c r="U7" s="1"/>
    </row>
    <row r="8" spans="1:22" x14ac:dyDescent="0.2">
      <c r="A8" s="48">
        <v>45301</v>
      </c>
      <c r="B8" s="8">
        <v>9.4700000000000006</v>
      </c>
      <c r="G8" s="24">
        <f>N6</f>
        <v>1274.53</v>
      </c>
      <c r="H8" s="44">
        <v>45509</v>
      </c>
      <c r="I8" s="25">
        <v>9.5399999999999991</v>
      </c>
      <c r="J8" s="26">
        <f>ROUNDDOWN(G8/I8,0)</f>
        <v>133</v>
      </c>
      <c r="K8" s="25">
        <f>J8*I8</f>
        <v>1268.82</v>
      </c>
      <c r="L8" s="25">
        <v>0.19</v>
      </c>
      <c r="M8" s="25">
        <f>G8-K8</f>
        <v>5.7100000000000364</v>
      </c>
      <c r="N8" s="25">
        <f>G8</f>
        <v>1274.53</v>
      </c>
      <c r="O8" s="27">
        <f>N8/G8</f>
        <v>1</v>
      </c>
      <c r="P8" s="28" t="s">
        <v>20</v>
      </c>
      <c r="Q8" s="1"/>
      <c r="R8" s="1"/>
      <c r="S8" s="1"/>
      <c r="T8" s="1"/>
      <c r="U8" s="1"/>
    </row>
    <row r="9" spans="1:22" x14ac:dyDescent="0.2">
      <c r="A9" s="48">
        <v>45302</v>
      </c>
      <c r="B9" s="8">
        <v>9.52</v>
      </c>
      <c r="G9" s="29"/>
      <c r="H9" s="42">
        <v>45594</v>
      </c>
      <c r="I9" s="30">
        <v>11.97</v>
      </c>
      <c r="J9" s="31">
        <f>J8</f>
        <v>133</v>
      </c>
      <c r="K9" s="30">
        <f>J9*I9</f>
        <v>1592.01</v>
      </c>
      <c r="L9" s="30">
        <v>0.19</v>
      </c>
      <c r="M9" s="30">
        <f>M8+L9*J9</f>
        <v>30.980000000000036</v>
      </c>
      <c r="N9" s="30">
        <f>K9+M9</f>
        <v>1622.99</v>
      </c>
      <c r="O9" s="32">
        <f>N9/G8</f>
        <v>1.2734027445411249</v>
      </c>
      <c r="P9" s="33" t="s">
        <v>21</v>
      </c>
      <c r="Q9" s="1"/>
      <c r="R9" s="1"/>
      <c r="S9" s="1"/>
      <c r="T9" s="1"/>
      <c r="U9" s="1"/>
    </row>
    <row r="10" spans="1:22" x14ac:dyDescent="0.2">
      <c r="A10" s="48">
        <v>45303</v>
      </c>
      <c r="B10" s="8">
        <v>9.5500000000000007</v>
      </c>
      <c r="G10" s="11"/>
      <c r="H10" s="43"/>
      <c r="I10" s="9"/>
      <c r="J10" s="1"/>
      <c r="K10" s="9"/>
      <c r="L10" s="9"/>
      <c r="M10" s="9"/>
      <c r="N10" s="9"/>
      <c r="O10" s="12"/>
      <c r="P10" s="13"/>
      <c r="Q10" s="1"/>
      <c r="R10" s="1"/>
      <c r="S10" s="1"/>
      <c r="T10" s="1"/>
      <c r="U10" s="1"/>
    </row>
    <row r="11" spans="1:22" x14ac:dyDescent="0.2">
      <c r="A11" s="48">
        <v>45306</v>
      </c>
      <c r="B11" s="8">
        <v>9.4499999999999993</v>
      </c>
      <c r="G11" s="71">
        <f>N9</f>
        <v>1622.99</v>
      </c>
      <c r="H11" s="44">
        <v>45638</v>
      </c>
      <c r="I11" s="25">
        <v>10.87</v>
      </c>
      <c r="J11" s="26">
        <f>ROUNDDOWN(G11/I11,0)</f>
        <v>149</v>
      </c>
      <c r="K11" s="25">
        <f>J11*I11</f>
        <v>1619.6299999999999</v>
      </c>
      <c r="L11" s="25">
        <v>0.19</v>
      </c>
      <c r="M11" s="25">
        <f>G11-K11</f>
        <v>3.3600000000001273</v>
      </c>
      <c r="N11" s="25">
        <f>G11</f>
        <v>1622.99</v>
      </c>
      <c r="O11" s="27">
        <f>N11/G11</f>
        <v>1</v>
      </c>
      <c r="P11" s="28" t="s">
        <v>20</v>
      </c>
      <c r="Q11" s="1"/>
      <c r="R11" s="1"/>
      <c r="S11" s="1"/>
      <c r="T11" s="1"/>
      <c r="U11" s="1"/>
    </row>
    <row r="12" spans="1:22" ht="13.5" thickBot="1" x14ac:dyDescent="0.25">
      <c r="A12" s="48">
        <v>45307</v>
      </c>
      <c r="B12" s="8">
        <v>9.48</v>
      </c>
      <c r="G12" s="19"/>
      <c r="H12" s="45">
        <v>45657</v>
      </c>
      <c r="I12" s="20">
        <v>11.57</v>
      </c>
      <c r="J12" s="21">
        <f>J11</f>
        <v>149</v>
      </c>
      <c r="K12" s="20">
        <f>J12*I12</f>
        <v>1723.93</v>
      </c>
      <c r="L12" s="20">
        <v>0.19</v>
      </c>
      <c r="M12" s="20">
        <f>M11+L12*J12</f>
        <v>31.670000000000126</v>
      </c>
      <c r="N12" s="20">
        <f>K12+M12</f>
        <v>1755.6000000000001</v>
      </c>
      <c r="O12" s="22">
        <f>N12/G11</f>
        <v>1.0817072193913704</v>
      </c>
      <c r="P12" s="23" t="s">
        <v>21</v>
      </c>
      <c r="Q12" s="1"/>
      <c r="R12" s="1"/>
      <c r="S12" s="1"/>
      <c r="T12" s="1"/>
      <c r="U12" s="1"/>
    </row>
    <row r="13" spans="1:22" x14ac:dyDescent="0.2">
      <c r="A13" s="48">
        <v>45308</v>
      </c>
      <c r="B13" s="8">
        <v>9.36</v>
      </c>
    </row>
    <row r="14" spans="1:22" x14ac:dyDescent="0.2">
      <c r="A14" s="48">
        <v>45309</v>
      </c>
      <c r="B14" s="8">
        <v>9.56</v>
      </c>
    </row>
    <row r="15" spans="1:22" x14ac:dyDescent="0.2">
      <c r="A15" s="48">
        <v>45310</v>
      </c>
      <c r="B15" s="8">
        <v>9.4</v>
      </c>
    </row>
    <row r="16" spans="1:22" x14ac:dyDescent="0.2">
      <c r="A16" s="48">
        <v>45313</v>
      </c>
      <c r="B16" s="8">
        <v>9.5299999999999994</v>
      </c>
    </row>
    <row r="17" spans="1:2" x14ac:dyDescent="0.2">
      <c r="A17" s="48">
        <v>45314</v>
      </c>
      <c r="B17" s="8">
        <v>9.65</v>
      </c>
    </row>
    <row r="18" spans="1:2" x14ac:dyDescent="0.2">
      <c r="A18" s="48">
        <v>45315</v>
      </c>
      <c r="B18" s="8">
        <v>9.6</v>
      </c>
    </row>
    <row r="19" spans="1:2" x14ac:dyDescent="0.2">
      <c r="A19" s="48">
        <v>45316</v>
      </c>
      <c r="B19" s="8">
        <v>9.64</v>
      </c>
    </row>
    <row r="20" spans="1:2" x14ac:dyDescent="0.2">
      <c r="A20" s="48">
        <v>45320</v>
      </c>
      <c r="B20" s="8">
        <v>10.09</v>
      </c>
    </row>
    <row r="21" spans="1:2" x14ac:dyDescent="0.2">
      <c r="A21" s="48">
        <v>45321</v>
      </c>
      <c r="B21" s="8">
        <v>9.9700000000000006</v>
      </c>
    </row>
    <row r="22" spans="1:2" x14ac:dyDescent="0.2">
      <c r="A22" s="48">
        <v>45322</v>
      </c>
      <c r="B22" s="8">
        <v>9.8800000000000008</v>
      </c>
    </row>
    <row r="23" spans="1:2" x14ac:dyDescent="0.2">
      <c r="A23" s="48">
        <v>45323</v>
      </c>
      <c r="B23" s="8">
        <v>9.9499999999999993</v>
      </c>
    </row>
    <row r="24" spans="1:2" x14ac:dyDescent="0.2">
      <c r="A24" s="48">
        <v>45324</v>
      </c>
      <c r="B24" s="8">
        <v>9.8699999999999992</v>
      </c>
    </row>
    <row r="25" spans="1:2" x14ac:dyDescent="0.2">
      <c r="A25" s="48">
        <v>45327</v>
      </c>
      <c r="B25" s="8">
        <v>9.92</v>
      </c>
    </row>
    <row r="26" spans="1:2" x14ac:dyDescent="0.2">
      <c r="A26" s="48">
        <v>45328</v>
      </c>
      <c r="B26" s="8">
        <v>9.92</v>
      </c>
    </row>
    <row r="27" spans="1:2" x14ac:dyDescent="0.2">
      <c r="A27" s="48">
        <v>45329</v>
      </c>
      <c r="B27" s="8">
        <v>9.93</v>
      </c>
    </row>
    <row r="28" spans="1:2" x14ac:dyDescent="0.2">
      <c r="A28" s="48">
        <v>45330</v>
      </c>
      <c r="B28" s="8">
        <v>9.81</v>
      </c>
    </row>
    <row r="29" spans="1:2" x14ac:dyDescent="0.2">
      <c r="A29" s="48">
        <v>45331</v>
      </c>
      <c r="B29" s="8">
        <v>10.11</v>
      </c>
    </row>
    <row r="30" spans="1:2" x14ac:dyDescent="0.2">
      <c r="A30" s="48">
        <v>45334</v>
      </c>
      <c r="B30" s="8">
        <v>9.8699999999999992</v>
      </c>
    </row>
    <row r="31" spans="1:2" x14ac:dyDescent="0.2">
      <c r="A31" s="48">
        <v>45335</v>
      </c>
      <c r="B31" s="8">
        <v>9.7799999999999994</v>
      </c>
    </row>
    <row r="32" spans="1:2" x14ac:dyDescent="0.2">
      <c r="A32" s="48">
        <v>45336</v>
      </c>
      <c r="B32" s="8">
        <v>9.6300000000000008</v>
      </c>
    </row>
    <row r="33" spans="1:2" x14ac:dyDescent="0.2">
      <c r="A33" s="48">
        <v>45337</v>
      </c>
      <c r="B33" s="8">
        <v>9.6300000000000008</v>
      </c>
    </row>
    <row r="34" spans="1:2" x14ac:dyDescent="0.2">
      <c r="A34" s="48">
        <v>45338</v>
      </c>
      <c r="B34" s="8">
        <v>9.8000000000000007</v>
      </c>
    </row>
    <row r="35" spans="1:2" x14ac:dyDescent="0.2">
      <c r="A35" s="48">
        <v>45341</v>
      </c>
      <c r="B35" s="8">
        <v>9.5500000000000007</v>
      </c>
    </row>
    <row r="36" spans="1:2" x14ac:dyDescent="0.2">
      <c r="A36" s="48">
        <v>45342</v>
      </c>
      <c r="B36" s="8">
        <v>9.7200000000000006</v>
      </c>
    </row>
    <row r="37" spans="1:2" x14ac:dyDescent="0.2">
      <c r="A37" s="48">
        <v>45343</v>
      </c>
      <c r="B37" s="8">
        <v>9.5</v>
      </c>
    </row>
    <row r="38" spans="1:2" x14ac:dyDescent="0.2">
      <c r="A38" s="48">
        <v>45344</v>
      </c>
      <c r="B38" s="8">
        <v>9.86</v>
      </c>
    </row>
    <row r="39" spans="1:2" x14ac:dyDescent="0.2">
      <c r="A39" s="48">
        <v>45345</v>
      </c>
      <c r="B39" s="8">
        <v>9.67</v>
      </c>
    </row>
    <row r="40" spans="1:2" x14ac:dyDescent="0.2">
      <c r="A40" s="48">
        <v>45348</v>
      </c>
      <c r="B40" s="8">
        <v>9.6300000000000008</v>
      </c>
    </row>
    <row r="41" spans="1:2" x14ac:dyDescent="0.2">
      <c r="A41" s="48">
        <v>45349</v>
      </c>
      <c r="B41" s="8">
        <v>9.52</v>
      </c>
    </row>
    <row r="42" spans="1:2" x14ac:dyDescent="0.2">
      <c r="A42" s="48">
        <v>45350</v>
      </c>
      <c r="B42" s="8">
        <v>9.66</v>
      </c>
    </row>
    <row r="43" spans="1:2" x14ac:dyDescent="0.2">
      <c r="A43" s="48">
        <v>45351</v>
      </c>
      <c r="B43" s="8">
        <v>9.7200000000000006</v>
      </c>
    </row>
    <row r="44" spans="1:2" x14ac:dyDescent="0.2">
      <c r="A44" s="48">
        <v>45352</v>
      </c>
      <c r="B44" s="8">
        <v>9.6199999999999992</v>
      </c>
    </row>
    <row r="45" spans="1:2" x14ac:dyDescent="0.2">
      <c r="A45" s="48">
        <v>45355</v>
      </c>
      <c r="B45" s="8">
        <v>9.7100000000000009</v>
      </c>
    </row>
    <row r="46" spans="1:2" x14ac:dyDescent="0.2">
      <c r="A46" s="48">
        <v>45356</v>
      </c>
      <c r="B46" s="8">
        <v>9.58</v>
      </c>
    </row>
    <row r="47" spans="1:2" x14ac:dyDescent="0.2">
      <c r="A47" s="48">
        <v>45357</v>
      </c>
      <c r="B47" s="8">
        <v>9.9</v>
      </c>
    </row>
    <row r="48" spans="1:2" x14ac:dyDescent="0.2">
      <c r="A48" s="48">
        <v>45358</v>
      </c>
      <c r="B48" s="8">
        <v>9.81</v>
      </c>
    </row>
    <row r="49" spans="1:2" x14ac:dyDescent="0.2">
      <c r="A49" s="48">
        <v>45359</v>
      </c>
      <c r="B49" s="8">
        <v>9.92</v>
      </c>
    </row>
    <row r="50" spans="1:2" x14ac:dyDescent="0.2">
      <c r="A50" s="48">
        <v>45362</v>
      </c>
      <c r="B50" s="8">
        <v>9.9600000000000009</v>
      </c>
    </row>
    <row r="51" spans="1:2" x14ac:dyDescent="0.2">
      <c r="A51" s="48">
        <v>45363</v>
      </c>
      <c r="B51" s="8">
        <v>9.75</v>
      </c>
    </row>
    <row r="52" spans="1:2" x14ac:dyDescent="0.2">
      <c r="A52" s="48">
        <v>45364</v>
      </c>
      <c r="B52" s="8">
        <v>9.9700000000000006</v>
      </c>
    </row>
    <row r="53" spans="1:2" x14ac:dyDescent="0.2">
      <c r="A53" s="48">
        <v>45365</v>
      </c>
      <c r="B53" s="8">
        <v>9.9600000000000009</v>
      </c>
    </row>
    <row r="54" spans="1:2" x14ac:dyDescent="0.2">
      <c r="A54" s="48">
        <v>45366</v>
      </c>
      <c r="B54" s="8">
        <v>9.7100000000000009</v>
      </c>
    </row>
    <row r="55" spans="1:2" x14ac:dyDescent="0.2">
      <c r="A55" s="48">
        <v>45369</v>
      </c>
      <c r="B55" s="8">
        <v>9.81</v>
      </c>
    </row>
    <row r="56" spans="1:2" x14ac:dyDescent="0.2">
      <c r="A56" s="48">
        <v>45370</v>
      </c>
      <c r="B56" s="8">
        <v>9.75</v>
      </c>
    </row>
    <row r="57" spans="1:2" x14ac:dyDescent="0.2">
      <c r="A57" s="48">
        <v>45371</v>
      </c>
      <c r="B57" s="8">
        <v>9.8800000000000008</v>
      </c>
    </row>
    <row r="58" spans="1:2" x14ac:dyDescent="0.2">
      <c r="A58" s="48">
        <v>45372</v>
      </c>
      <c r="B58" s="8">
        <v>9.77</v>
      </c>
    </row>
    <row r="59" spans="1:2" x14ac:dyDescent="0.2">
      <c r="A59" s="48">
        <v>45373</v>
      </c>
      <c r="B59" s="8">
        <v>9.84</v>
      </c>
    </row>
    <row r="60" spans="1:2" x14ac:dyDescent="0.2">
      <c r="A60" s="48">
        <v>45376</v>
      </c>
      <c r="B60" s="8">
        <v>9.85</v>
      </c>
    </row>
    <row r="61" spans="1:2" x14ac:dyDescent="0.2">
      <c r="A61" s="48">
        <v>45377</v>
      </c>
      <c r="B61" s="8">
        <v>10.01</v>
      </c>
    </row>
    <row r="62" spans="1:2" x14ac:dyDescent="0.2">
      <c r="A62" s="48">
        <v>45378</v>
      </c>
      <c r="B62" s="8">
        <v>9.8699999999999992</v>
      </c>
    </row>
    <row r="63" spans="1:2" x14ac:dyDescent="0.2">
      <c r="A63" s="48">
        <v>45379</v>
      </c>
      <c r="B63" s="8">
        <v>9.92</v>
      </c>
    </row>
    <row r="64" spans="1:2" x14ac:dyDescent="0.2">
      <c r="A64" s="48">
        <v>45384</v>
      </c>
      <c r="B64" s="8">
        <v>9.9700000000000006</v>
      </c>
    </row>
    <row r="65" spans="1:2" x14ac:dyDescent="0.2">
      <c r="A65" s="48">
        <v>45385</v>
      </c>
      <c r="B65" s="8">
        <v>9.9700000000000006</v>
      </c>
    </row>
    <row r="66" spans="1:2" x14ac:dyDescent="0.2">
      <c r="A66" s="48">
        <v>45386</v>
      </c>
      <c r="B66" s="8">
        <v>10.039999999999999</v>
      </c>
    </row>
    <row r="67" spans="1:2" x14ac:dyDescent="0.2">
      <c r="A67" s="48">
        <v>45387</v>
      </c>
      <c r="B67" s="8">
        <v>9.98</v>
      </c>
    </row>
    <row r="68" spans="1:2" x14ac:dyDescent="0.2">
      <c r="A68" s="48">
        <v>45390</v>
      </c>
      <c r="B68" s="8">
        <v>10.050000000000001</v>
      </c>
    </row>
    <row r="69" spans="1:2" x14ac:dyDescent="0.2">
      <c r="A69" s="48">
        <v>45391</v>
      </c>
      <c r="B69" s="8">
        <v>9.9700000000000006</v>
      </c>
    </row>
    <row r="70" spans="1:2" x14ac:dyDescent="0.2">
      <c r="A70" s="48">
        <v>45392</v>
      </c>
      <c r="B70" s="8">
        <v>10.050000000000001</v>
      </c>
    </row>
    <row r="71" spans="1:2" x14ac:dyDescent="0.2">
      <c r="A71" s="48">
        <v>45393</v>
      </c>
      <c r="B71" s="8">
        <v>10.199999999999999</v>
      </c>
    </row>
    <row r="72" spans="1:2" x14ac:dyDescent="0.2">
      <c r="A72" s="48">
        <v>45394</v>
      </c>
      <c r="B72" s="8">
        <v>10.130000000000001</v>
      </c>
    </row>
    <row r="73" spans="1:2" x14ac:dyDescent="0.2">
      <c r="A73" s="48">
        <v>45397</v>
      </c>
      <c r="B73" s="8">
        <v>9.98</v>
      </c>
    </row>
    <row r="74" spans="1:2" x14ac:dyDescent="0.2">
      <c r="A74" s="48">
        <v>45398</v>
      </c>
      <c r="B74" s="8">
        <v>10</v>
      </c>
    </row>
    <row r="75" spans="1:2" x14ac:dyDescent="0.2">
      <c r="A75" s="48">
        <v>45399</v>
      </c>
      <c r="B75" s="8">
        <v>10.16</v>
      </c>
    </row>
    <row r="76" spans="1:2" x14ac:dyDescent="0.2">
      <c r="A76" s="48">
        <v>45400</v>
      </c>
      <c r="B76" s="8">
        <v>9.92</v>
      </c>
    </row>
    <row r="77" spans="1:2" x14ac:dyDescent="0.2">
      <c r="A77" s="48">
        <v>45401</v>
      </c>
      <c r="B77" s="8">
        <v>9.99</v>
      </c>
    </row>
    <row r="78" spans="1:2" x14ac:dyDescent="0.2">
      <c r="A78" s="48">
        <v>45404</v>
      </c>
      <c r="B78" s="8">
        <v>9.9499999999999993</v>
      </c>
    </row>
    <row r="79" spans="1:2" x14ac:dyDescent="0.2">
      <c r="A79" s="48">
        <v>45405</v>
      </c>
      <c r="B79" s="8">
        <v>9.93</v>
      </c>
    </row>
    <row r="80" spans="1:2" x14ac:dyDescent="0.2">
      <c r="A80" s="48">
        <v>45406</v>
      </c>
      <c r="B80" s="8">
        <v>10.029999999999999</v>
      </c>
    </row>
    <row r="81" spans="1:2" x14ac:dyDescent="0.2">
      <c r="A81" s="48">
        <v>45408</v>
      </c>
      <c r="B81" s="8">
        <v>9.92</v>
      </c>
    </row>
    <row r="82" spans="1:2" x14ac:dyDescent="0.2">
      <c r="A82" s="48">
        <v>45411</v>
      </c>
      <c r="B82" s="8">
        <v>9.9499999999999993</v>
      </c>
    </row>
    <row r="83" spans="1:2" x14ac:dyDescent="0.2">
      <c r="A83" s="48">
        <v>45412</v>
      </c>
      <c r="B83" s="8">
        <v>10</v>
      </c>
    </row>
    <row r="84" spans="1:2" x14ac:dyDescent="0.2">
      <c r="A84" s="48">
        <v>45413</v>
      </c>
      <c r="B84" s="8">
        <v>9.9700000000000006</v>
      </c>
    </row>
    <row r="85" spans="1:2" x14ac:dyDescent="0.2">
      <c r="A85" s="48">
        <v>45414</v>
      </c>
      <c r="B85" s="8">
        <v>10.02</v>
      </c>
    </row>
    <row r="86" spans="1:2" x14ac:dyDescent="0.2">
      <c r="A86" s="48">
        <v>45415</v>
      </c>
      <c r="B86" s="8">
        <v>9.9499999999999993</v>
      </c>
    </row>
    <row r="87" spans="1:2" x14ac:dyDescent="0.2">
      <c r="A87" s="48">
        <v>45418</v>
      </c>
      <c r="B87" s="8">
        <v>9.68</v>
      </c>
    </row>
    <row r="88" spans="1:2" x14ac:dyDescent="0.2">
      <c r="A88" s="48">
        <v>45419</v>
      </c>
      <c r="B88" s="8">
        <v>9.73</v>
      </c>
    </row>
    <row r="89" spans="1:2" x14ac:dyDescent="0.2">
      <c r="A89" s="48">
        <v>45420</v>
      </c>
      <c r="B89" s="8">
        <v>9.89</v>
      </c>
    </row>
    <row r="90" spans="1:2" x14ac:dyDescent="0.2">
      <c r="A90" s="48">
        <v>45421</v>
      </c>
      <c r="B90" s="8">
        <v>9.7799999999999994</v>
      </c>
    </row>
    <row r="91" spans="1:2" x14ac:dyDescent="0.2">
      <c r="A91" s="48">
        <v>45422</v>
      </c>
      <c r="B91" s="8">
        <v>9.7100000000000009</v>
      </c>
    </row>
    <row r="92" spans="1:2" x14ac:dyDescent="0.2">
      <c r="A92" s="48">
        <v>45425</v>
      </c>
      <c r="B92" s="8">
        <v>9.6300000000000008</v>
      </c>
    </row>
    <row r="93" spans="1:2" x14ac:dyDescent="0.2">
      <c r="A93" s="48">
        <v>45426</v>
      </c>
      <c r="B93" s="8">
        <v>9.48</v>
      </c>
    </row>
    <row r="94" spans="1:2" x14ac:dyDescent="0.2">
      <c r="A94" s="48">
        <v>45427</v>
      </c>
      <c r="B94" s="8">
        <v>9.5500000000000007</v>
      </c>
    </row>
    <row r="95" spans="1:2" x14ac:dyDescent="0.2">
      <c r="A95" s="48">
        <v>45428</v>
      </c>
      <c r="B95" s="8">
        <v>9.84</v>
      </c>
    </row>
    <row r="96" spans="1:2" x14ac:dyDescent="0.2">
      <c r="A96" s="48">
        <v>45429</v>
      </c>
      <c r="B96" s="8">
        <v>9.94</v>
      </c>
    </row>
    <row r="97" spans="1:2" x14ac:dyDescent="0.2">
      <c r="A97" s="48">
        <v>45432</v>
      </c>
      <c r="B97" s="8">
        <v>10.35</v>
      </c>
    </row>
    <row r="98" spans="1:2" x14ac:dyDescent="0.2">
      <c r="A98" s="48">
        <v>45433</v>
      </c>
      <c r="B98" s="8">
        <v>9.75</v>
      </c>
    </row>
    <row r="99" spans="1:2" x14ac:dyDescent="0.2">
      <c r="A99" s="48">
        <v>45434</v>
      </c>
      <c r="B99" s="8">
        <v>9.8800000000000008</v>
      </c>
    </row>
    <row r="100" spans="1:2" x14ac:dyDescent="0.2">
      <c r="A100" s="48">
        <v>45435</v>
      </c>
      <c r="B100" s="8">
        <v>10.1</v>
      </c>
    </row>
    <row r="101" spans="1:2" x14ac:dyDescent="0.2">
      <c r="A101" s="48">
        <v>45436</v>
      </c>
      <c r="B101" s="8">
        <v>10.050000000000001</v>
      </c>
    </row>
    <row r="102" spans="1:2" x14ac:dyDescent="0.2">
      <c r="A102" s="48">
        <v>45439</v>
      </c>
      <c r="B102" s="8">
        <v>10.06</v>
      </c>
    </row>
    <row r="103" spans="1:2" x14ac:dyDescent="0.2">
      <c r="A103" s="48">
        <v>45440</v>
      </c>
      <c r="B103" s="8">
        <v>10.08</v>
      </c>
    </row>
    <row r="104" spans="1:2" x14ac:dyDescent="0.2">
      <c r="A104" s="48">
        <v>45441</v>
      </c>
      <c r="B104" s="8">
        <v>9.9499999999999993</v>
      </c>
    </row>
    <row r="105" spans="1:2" x14ac:dyDescent="0.2">
      <c r="A105" s="48">
        <v>45442</v>
      </c>
      <c r="B105" s="8">
        <v>9.7799999999999994</v>
      </c>
    </row>
    <row r="106" spans="1:2" x14ac:dyDescent="0.2">
      <c r="A106" s="48">
        <v>45443</v>
      </c>
      <c r="B106" s="8">
        <v>9.85</v>
      </c>
    </row>
    <row r="107" spans="1:2" x14ac:dyDescent="0.2">
      <c r="A107" s="48">
        <v>45446</v>
      </c>
      <c r="B107" s="8">
        <v>9.9600000000000009</v>
      </c>
    </row>
    <row r="108" spans="1:2" x14ac:dyDescent="0.2">
      <c r="A108" s="48">
        <v>45447</v>
      </c>
      <c r="B108" s="8">
        <v>10.1</v>
      </c>
    </row>
    <row r="109" spans="1:2" x14ac:dyDescent="0.2">
      <c r="A109" s="48">
        <v>45448</v>
      </c>
      <c r="B109" s="8">
        <v>10.31</v>
      </c>
    </row>
    <row r="110" spans="1:2" x14ac:dyDescent="0.2">
      <c r="A110" s="48">
        <v>45449</v>
      </c>
      <c r="B110" s="8">
        <v>10.61</v>
      </c>
    </row>
    <row r="111" spans="1:2" x14ac:dyDescent="0.2">
      <c r="A111" s="48">
        <v>45450</v>
      </c>
      <c r="B111" s="8">
        <v>10.35</v>
      </c>
    </row>
    <row r="112" spans="1:2" x14ac:dyDescent="0.2">
      <c r="A112" s="48">
        <v>45454</v>
      </c>
      <c r="B112" s="8">
        <v>10</v>
      </c>
    </row>
    <row r="113" spans="1:2" x14ac:dyDescent="0.2">
      <c r="A113" s="48">
        <v>45455</v>
      </c>
      <c r="B113" s="8">
        <v>9.92</v>
      </c>
    </row>
    <row r="114" spans="1:2" x14ac:dyDescent="0.2">
      <c r="A114" s="48">
        <v>45456</v>
      </c>
      <c r="B114" s="8">
        <v>9.8800000000000008</v>
      </c>
    </row>
    <row r="115" spans="1:2" x14ac:dyDescent="0.2">
      <c r="A115" s="48">
        <v>45457</v>
      </c>
      <c r="B115" s="8">
        <v>10.06</v>
      </c>
    </row>
    <row r="116" spans="1:2" x14ac:dyDescent="0.2">
      <c r="A116" s="48">
        <v>45460</v>
      </c>
      <c r="B116" s="8">
        <v>10.06</v>
      </c>
    </row>
    <row r="117" spans="1:2" x14ac:dyDescent="0.2">
      <c r="A117" s="48">
        <v>45461</v>
      </c>
      <c r="B117" s="8">
        <v>10.55</v>
      </c>
    </row>
    <row r="118" spans="1:2" x14ac:dyDescent="0.2">
      <c r="A118" s="48">
        <v>45462</v>
      </c>
      <c r="B118" s="8">
        <v>10.25</v>
      </c>
    </row>
    <row r="119" spans="1:2" x14ac:dyDescent="0.2">
      <c r="A119" s="48">
        <v>45463</v>
      </c>
      <c r="B119" s="8">
        <v>10.26</v>
      </c>
    </row>
    <row r="120" spans="1:2" x14ac:dyDescent="0.2">
      <c r="A120" s="48">
        <v>45464</v>
      </c>
      <c r="B120" s="8">
        <v>10.029999999999999</v>
      </c>
    </row>
    <row r="121" spans="1:2" x14ac:dyDescent="0.2">
      <c r="A121" s="48">
        <v>45467</v>
      </c>
      <c r="B121" s="8">
        <v>10.07</v>
      </c>
    </row>
    <row r="122" spans="1:2" x14ac:dyDescent="0.2">
      <c r="A122" s="48">
        <v>45468</v>
      </c>
      <c r="B122" s="8">
        <v>10.11</v>
      </c>
    </row>
    <row r="123" spans="1:2" x14ac:dyDescent="0.2">
      <c r="A123" s="48">
        <v>45469</v>
      </c>
      <c r="B123" s="8">
        <v>10.220000000000001</v>
      </c>
    </row>
    <row r="124" spans="1:2" x14ac:dyDescent="0.2">
      <c r="A124" s="48">
        <v>45470</v>
      </c>
      <c r="B124" s="8">
        <v>10.18</v>
      </c>
    </row>
    <row r="125" spans="1:2" x14ac:dyDescent="0.2">
      <c r="A125" s="48">
        <v>45471</v>
      </c>
      <c r="B125" s="8">
        <v>10.34</v>
      </c>
    </row>
    <row r="126" spans="1:2" x14ac:dyDescent="0.2">
      <c r="A126" s="48">
        <v>45474</v>
      </c>
      <c r="B126" s="8">
        <v>10.18</v>
      </c>
    </row>
    <row r="127" spans="1:2" x14ac:dyDescent="0.2">
      <c r="A127" s="48">
        <v>45475</v>
      </c>
      <c r="B127" s="8">
        <v>10.19</v>
      </c>
    </row>
    <row r="128" spans="1:2" x14ac:dyDescent="0.2">
      <c r="A128" s="48">
        <v>45476</v>
      </c>
      <c r="B128" s="8">
        <v>10.210000000000001</v>
      </c>
    </row>
    <row r="129" spans="1:2" x14ac:dyDescent="0.2">
      <c r="A129" s="48">
        <v>45477</v>
      </c>
      <c r="B129" s="8">
        <v>10.1</v>
      </c>
    </row>
    <row r="130" spans="1:2" x14ac:dyDescent="0.2">
      <c r="A130" s="48">
        <v>45478</v>
      </c>
      <c r="B130" s="8">
        <v>10.11</v>
      </c>
    </row>
    <row r="131" spans="1:2" x14ac:dyDescent="0.2">
      <c r="A131" s="48">
        <v>45481</v>
      </c>
      <c r="B131" s="8">
        <v>10.32</v>
      </c>
    </row>
    <row r="132" spans="1:2" x14ac:dyDescent="0.2">
      <c r="A132" s="48">
        <v>45482</v>
      </c>
      <c r="B132" s="8">
        <v>10.130000000000001</v>
      </c>
    </row>
    <row r="133" spans="1:2" x14ac:dyDescent="0.2">
      <c r="A133" s="48">
        <v>45483</v>
      </c>
      <c r="B133" s="8">
        <v>10.06</v>
      </c>
    </row>
    <row r="134" spans="1:2" x14ac:dyDescent="0.2">
      <c r="A134" s="48">
        <v>45484</v>
      </c>
      <c r="B134" s="8">
        <v>10.08</v>
      </c>
    </row>
    <row r="135" spans="1:2" x14ac:dyDescent="0.2">
      <c r="A135" s="48">
        <v>45485</v>
      </c>
      <c r="B135" s="8">
        <v>9.8800000000000008</v>
      </c>
    </row>
    <row r="136" spans="1:2" x14ac:dyDescent="0.2">
      <c r="A136" s="48">
        <v>45488</v>
      </c>
      <c r="B136" s="8">
        <v>9.69</v>
      </c>
    </row>
    <row r="137" spans="1:2" x14ac:dyDescent="0.2">
      <c r="A137" s="48">
        <v>45489</v>
      </c>
      <c r="B137" s="8">
        <v>9.56</v>
      </c>
    </row>
    <row r="138" spans="1:2" x14ac:dyDescent="0.2">
      <c r="A138" s="48">
        <v>45490</v>
      </c>
      <c r="B138" s="8">
        <v>9.73</v>
      </c>
    </row>
    <row r="139" spans="1:2" x14ac:dyDescent="0.2">
      <c r="A139" s="48">
        <v>45491</v>
      </c>
      <c r="B139" s="8">
        <v>9.86</v>
      </c>
    </row>
    <row r="140" spans="1:2" x14ac:dyDescent="0.2">
      <c r="A140" s="48">
        <v>45492</v>
      </c>
      <c r="B140" s="8">
        <v>9.74</v>
      </c>
    </row>
    <row r="141" spans="1:2" x14ac:dyDescent="0.2">
      <c r="A141" s="48">
        <v>45495</v>
      </c>
      <c r="B141" s="8">
        <v>9.6999999999999993</v>
      </c>
    </row>
    <row r="142" spans="1:2" x14ac:dyDescent="0.2">
      <c r="A142" s="48">
        <v>45496</v>
      </c>
      <c r="B142" s="8">
        <v>9.81</v>
      </c>
    </row>
    <row r="143" spans="1:2" x14ac:dyDescent="0.2">
      <c r="A143" s="48">
        <v>45497</v>
      </c>
      <c r="B143" s="8">
        <v>10</v>
      </c>
    </row>
    <row r="144" spans="1:2" x14ac:dyDescent="0.2">
      <c r="A144" s="48">
        <v>45498</v>
      </c>
      <c r="B144" s="8">
        <v>9.85</v>
      </c>
    </row>
    <row r="145" spans="1:2" x14ac:dyDescent="0.2">
      <c r="A145" s="48">
        <v>45499</v>
      </c>
      <c r="B145" s="8">
        <v>9.7200000000000006</v>
      </c>
    </row>
    <row r="146" spans="1:2" x14ac:dyDescent="0.2">
      <c r="A146" s="48">
        <v>45502</v>
      </c>
      <c r="B146" s="8">
        <v>9.76</v>
      </c>
    </row>
    <row r="147" spans="1:2" x14ac:dyDescent="0.2">
      <c r="A147" s="48">
        <v>45503</v>
      </c>
      <c r="B147" s="8">
        <v>9.76</v>
      </c>
    </row>
    <row r="148" spans="1:2" x14ac:dyDescent="0.2">
      <c r="A148" s="48">
        <v>45504</v>
      </c>
      <c r="B148" s="8">
        <v>9.82</v>
      </c>
    </row>
    <row r="149" spans="1:2" x14ac:dyDescent="0.2">
      <c r="A149" s="48">
        <v>45505</v>
      </c>
      <c r="B149" s="8">
        <v>9.85</v>
      </c>
    </row>
    <row r="150" spans="1:2" x14ac:dyDescent="0.2">
      <c r="A150" s="48">
        <v>45506</v>
      </c>
      <c r="B150" s="8">
        <v>9.9</v>
      </c>
    </row>
    <row r="151" spans="1:2" x14ac:dyDescent="0.2">
      <c r="A151" s="48">
        <v>45509</v>
      </c>
      <c r="B151" s="8">
        <v>9.5399999999999991</v>
      </c>
    </row>
    <row r="152" spans="1:2" x14ac:dyDescent="0.2">
      <c r="A152" s="48">
        <v>45510</v>
      </c>
      <c r="B152" s="8">
        <v>9.5500000000000007</v>
      </c>
    </row>
    <row r="153" spans="1:2" x14ac:dyDescent="0.2">
      <c r="A153" s="48">
        <v>45511</v>
      </c>
      <c r="B153" s="8">
        <v>9.7200000000000006</v>
      </c>
    </row>
    <row r="154" spans="1:2" x14ac:dyDescent="0.2">
      <c r="A154" s="48">
        <v>45512</v>
      </c>
      <c r="B154" s="8">
        <v>9.7200000000000006</v>
      </c>
    </row>
    <row r="155" spans="1:2" x14ac:dyDescent="0.2">
      <c r="A155" s="48">
        <v>45513</v>
      </c>
      <c r="B155" s="8">
        <v>9.77</v>
      </c>
    </row>
    <row r="156" spans="1:2" x14ac:dyDescent="0.2">
      <c r="A156" s="48">
        <v>45516</v>
      </c>
      <c r="B156" s="8">
        <v>9.65</v>
      </c>
    </row>
    <row r="157" spans="1:2" x14ac:dyDescent="0.2">
      <c r="A157" s="48">
        <v>45517</v>
      </c>
      <c r="B157" s="8">
        <v>9.68</v>
      </c>
    </row>
    <row r="158" spans="1:2" x14ac:dyDescent="0.2">
      <c r="A158" s="48">
        <v>45518</v>
      </c>
      <c r="B158" s="8">
        <v>9.59</v>
      </c>
    </row>
    <row r="159" spans="1:2" x14ac:dyDescent="0.2">
      <c r="A159" s="48">
        <v>45519</v>
      </c>
      <c r="B159" s="8">
        <v>9.81</v>
      </c>
    </row>
    <row r="160" spans="1:2" x14ac:dyDescent="0.2">
      <c r="A160" s="48">
        <v>45520</v>
      </c>
      <c r="B160" s="8">
        <v>9.92</v>
      </c>
    </row>
    <row r="161" spans="1:2" x14ac:dyDescent="0.2">
      <c r="A161" s="48">
        <v>45523</v>
      </c>
      <c r="B161" s="8">
        <v>10</v>
      </c>
    </row>
    <row r="162" spans="1:2" x14ac:dyDescent="0.2">
      <c r="A162" s="48">
        <v>45524</v>
      </c>
      <c r="B162" s="8">
        <v>10.02</v>
      </c>
    </row>
    <row r="163" spans="1:2" x14ac:dyDescent="0.2">
      <c r="A163" s="48">
        <v>45525</v>
      </c>
      <c r="B163" s="8">
        <v>10.07</v>
      </c>
    </row>
    <row r="164" spans="1:2" x14ac:dyDescent="0.2">
      <c r="A164" s="48">
        <v>45526</v>
      </c>
      <c r="B164" s="8">
        <v>9.9600000000000009</v>
      </c>
    </row>
    <row r="165" spans="1:2" x14ac:dyDescent="0.2">
      <c r="A165" s="48">
        <v>45527</v>
      </c>
      <c r="B165" s="8">
        <v>10.14</v>
      </c>
    </row>
    <row r="166" spans="1:2" x14ac:dyDescent="0.2">
      <c r="A166" s="48">
        <v>45530</v>
      </c>
      <c r="B166" s="8">
        <v>10.029999999999999</v>
      </c>
    </row>
    <row r="167" spans="1:2" x14ac:dyDescent="0.2">
      <c r="A167" s="48">
        <v>45531</v>
      </c>
      <c r="B167" s="8">
        <v>10.02</v>
      </c>
    </row>
    <row r="168" spans="1:2" x14ac:dyDescent="0.2">
      <c r="A168" s="48">
        <v>45532</v>
      </c>
      <c r="B168" s="8">
        <v>10.07</v>
      </c>
    </row>
    <row r="169" spans="1:2" x14ac:dyDescent="0.2">
      <c r="A169" s="48">
        <v>45533</v>
      </c>
      <c r="B169" s="8">
        <v>10.01</v>
      </c>
    </row>
    <row r="170" spans="1:2" x14ac:dyDescent="0.2">
      <c r="A170" s="48">
        <v>45534</v>
      </c>
      <c r="B170" s="8">
        <v>10.14</v>
      </c>
    </row>
    <row r="171" spans="1:2" x14ac:dyDescent="0.2">
      <c r="A171" s="48">
        <v>45537</v>
      </c>
      <c r="B171" s="8">
        <v>10.28</v>
      </c>
    </row>
    <row r="172" spans="1:2" x14ac:dyDescent="0.2">
      <c r="A172" s="48">
        <v>45538</v>
      </c>
      <c r="B172" s="8">
        <v>10.27</v>
      </c>
    </row>
    <row r="173" spans="1:2" x14ac:dyDescent="0.2">
      <c r="A173" s="48">
        <v>45539</v>
      </c>
      <c r="B173" s="8">
        <v>10.5</v>
      </c>
    </row>
    <row r="174" spans="1:2" x14ac:dyDescent="0.2">
      <c r="A174" s="48">
        <v>45540</v>
      </c>
      <c r="B174" s="8">
        <v>10.9</v>
      </c>
    </row>
    <row r="175" spans="1:2" x14ac:dyDescent="0.2">
      <c r="A175" s="48">
        <v>45541</v>
      </c>
      <c r="B175" s="8">
        <v>11.08</v>
      </c>
    </row>
    <row r="176" spans="1:2" x14ac:dyDescent="0.2">
      <c r="A176" s="48">
        <v>45544</v>
      </c>
      <c r="B176" s="8">
        <v>11.1</v>
      </c>
    </row>
    <row r="177" spans="1:2" x14ac:dyDescent="0.2">
      <c r="A177" s="48">
        <v>45545</v>
      </c>
      <c r="B177" s="8">
        <v>11.08</v>
      </c>
    </row>
    <row r="178" spans="1:2" x14ac:dyDescent="0.2">
      <c r="A178" s="48">
        <v>45546</v>
      </c>
      <c r="B178" s="8">
        <v>11.26</v>
      </c>
    </row>
    <row r="179" spans="1:2" x14ac:dyDescent="0.2">
      <c r="A179" s="48">
        <v>45547</v>
      </c>
      <c r="B179" s="8">
        <v>11.4</v>
      </c>
    </row>
    <row r="180" spans="1:2" x14ac:dyDescent="0.2">
      <c r="A180" s="48">
        <v>45548</v>
      </c>
      <c r="B180" s="8">
        <v>11.26</v>
      </c>
    </row>
    <row r="181" spans="1:2" x14ac:dyDescent="0.2">
      <c r="A181" s="48">
        <v>45551</v>
      </c>
      <c r="B181" s="8">
        <v>11.11</v>
      </c>
    </row>
    <row r="182" spans="1:2" x14ac:dyDescent="0.2">
      <c r="A182" s="48">
        <v>45552</v>
      </c>
      <c r="B182" s="8">
        <v>11.24</v>
      </c>
    </row>
    <row r="183" spans="1:2" x14ac:dyDescent="0.2">
      <c r="A183" s="48">
        <v>45553</v>
      </c>
      <c r="B183" s="8">
        <v>11.15</v>
      </c>
    </row>
    <row r="184" spans="1:2" x14ac:dyDescent="0.2">
      <c r="A184" s="48">
        <v>45554</v>
      </c>
      <c r="B184" s="8">
        <v>11.39</v>
      </c>
    </row>
    <row r="185" spans="1:2" x14ac:dyDescent="0.2">
      <c r="A185" s="48">
        <v>45555</v>
      </c>
      <c r="B185" s="8">
        <v>11.27</v>
      </c>
    </row>
    <row r="186" spans="1:2" x14ac:dyDescent="0.2">
      <c r="A186" s="48">
        <v>45558</v>
      </c>
      <c r="B186" s="8">
        <v>11.33</v>
      </c>
    </row>
    <row r="187" spans="1:2" x14ac:dyDescent="0.2">
      <c r="A187" s="48">
        <v>45559</v>
      </c>
      <c r="B187" s="8">
        <v>11.17</v>
      </c>
    </row>
    <row r="188" spans="1:2" x14ac:dyDescent="0.2">
      <c r="A188" s="48">
        <v>45560</v>
      </c>
      <c r="B188" s="8">
        <v>11.14</v>
      </c>
    </row>
    <row r="189" spans="1:2" x14ac:dyDescent="0.2">
      <c r="A189" s="48">
        <v>45561</v>
      </c>
      <c r="B189" s="8">
        <v>11.31</v>
      </c>
    </row>
    <row r="190" spans="1:2" x14ac:dyDescent="0.2">
      <c r="A190" s="48">
        <v>45562</v>
      </c>
      <c r="B190" s="8">
        <v>11.42</v>
      </c>
    </row>
    <row r="191" spans="1:2" x14ac:dyDescent="0.2">
      <c r="A191" s="48">
        <v>45565</v>
      </c>
      <c r="B191" s="8">
        <v>11.41</v>
      </c>
    </row>
    <row r="192" spans="1:2" x14ac:dyDescent="0.2">
      <c r="A192" s="48">
        <v>45566</v>
      </c>
      <c r="B192" s="8">
        <v>11.17</v>
      </c>
    </row>
    <row r="193" spans="1:2" x14ac:dyDescent="0.2">
      <c r="A193" s="48">
        <v>45567</v>
      </c>
      <c r="B193" s="8">
        <v>11.18</v>
      </c>
    </row>
    <row r="194" spans="1:2" x14ac:dyDescent="0.2">
      <c r="A194" s="48">
        <v>45568</v>
      </c>
      <c r="B194" s="8">
        <v>11.08</v>
      </c>
    </row>
    <row r="195" spans="1:2" x14ac:dyDescent="0.2">
      <c r="A195" s="48">
        <v>45569</v>
      </c>
      <c r="B195" s="8">
        <v>11.08</v>
      </c>
    </row>
    <row r="196" spans="1:2" x14ac:dyDescent="0.2">
      <c r="A196" s="48">
        <v>45572</v>
      </c>
      <c r="B196" s="8">
        <v>11.16</v>
      </c>
    </row>
    <row r="197" spans="1:2" x14ac:dyDescent="0.2">
      <c r="A197" s="48">
        <v>45573</v>
      </c>
      <c r="B197" s="8">
        <v>11.04</v>
      </c>
    </row>
    <row r="198" spans="1:2" x14ac:dyDescent="0.2">
      <c r="A198" s="48">
        <v>45574</v>
      </c>
      <c r="B198" s="8">
        <v>11.17</v>
      </c>
    </row>
    <row r="199" spans="1:2" x14ac:dyDescent="0.2">
      <c r="A199" s="48">
        <v>45575</v>
      </c>
      <c r="B199" s="8">
        <v>10.9</v>
      </c>
    </row>
    <row r="200" spans="1:2" x14ac:dyDescent="0.2">
      <c r="A200" s="48">
        <v>45576</v>
      </c>
      <c r="B200" s="8">
        <v>11.16</v>
      </c>
    </row>
    <row r="201" spans="1:2" x14ac:dyDescent="0.2">
      <c r="A201" s="48">
        <v>45579</v>
      </c>
      <c r="B201" s="8">
        <v>11.06</v>
      </c>
    </row>
    <row r="202" spans="1:2" x14ac:dyDescent="0.2">
      <c r="A202" s="48">
        <v>45580</v>
      </c>
      <c r="B202" s="8">
        <v>11.12</v>
      </c>
    </row>
    <row r="203" spans="1:2" x14ac:dyDescent="0.2">
      <c r="A203" s="48">
        <v>45581</v>
      </c>
      <c r="B203" s="8">
        <v>10.89</v>
      </c>
    </row>
    <row r="204" spans="1:2" x14ac:dyDescent="0.2">
      <c r="A204" s="48">
        <v>45582</v>
      </c>
      <c r="B204" s="8">
        <v>11.07</v>
      </c>
    </row>
    <row r="205" spans="1:2" x14ac:dyDescent="0.2">
      <c r="A205" s="48">
        <v>45583</v>
      </c>
      <c r="B205" s="8">
        <v>11.12</v>
      </c>
    </row>
    <row r="206" spans="1:2" x14ac:dyDescent="0.2">
      <c r="A206" s="48">
        <v>45586</v>
      </c>
      <c r="B206" s="8">
        <v>11.27</v>
      </c>
    </row>
    <row r="207" spans="1:2" x14ac:dyDescent="0.2">
      <c r="A207" s="48">
        <v>45587</v>
      </c>
      <c r="B207" s="8">
        <v>11.46</v>
      </c>
    </row>
    <row r="208" spans="1:2" x14ac:dyDescent="0.2">
      <c r="A208" s="48">
        <v>45588</v>
      </c>
      <c r="B208" s="8">
        <v>11.62</v>
      </c>
    </row>
    <row r="209" spans="1:2" x14ac:dyDescent="0.2">
      <c r="A209" s="48">
        <v>45589</v>
      </c>
      <c r="B209" s="8">
        <v>11.78</v>
      </c>
    </row>
    <row r="210" spans="1:2" x14ac:dyDescent="0.2">
      <c r="A210" s="48">
        <v>45590</v>
      </c>
      <c r="B210" s="8">
        <v>11.66</v>
      </c>
    </row>
    <row r="211" spans="1:2" x14ac:dyDescent="0.2">
      <c r="A211" s="48">
        <v>45593</v>
      </c>
      <c r="B211" s="8">
        <v>11.95</v>
      </c>
    </row>
    <row r="212" spans="1:2" x14ac:dyDescent="0.2">
      <c r="A212" s="48">
        <v>45594</v>
      </c>
      <c r="B212" s="8">
        <v>11.97</v>
      </c>
    </row>
    <row r="213" spans="1:2" x14ac:dyDescent="0.2">
      <c r="A213" s="48">
        <v>45595</v>
      </c>
      <c r="B213" s="8">
        <v>11.67</v>
      </c>
    </row>
    <row r="214" spans="1:2" x14ac:dyDescent="0.2">
      <c r="A214" s="48">
        <v>45596</v>
      </c>
      <c r="B214" s="8">
        <v>11.5</v>
      </c>
    </row>
    <row r="215" spans="1:2" x14ac:dyDescent="0.2">
      <c r="A215" s="48">
        <v>45597</v>
      </c>
      <c r="B215" s="8">
        <v>11.61</v>
      </c>
    </row>
    <row r="216" spans="1:2" x14ac:dyDescent="0.2">
      <c r="A216" s="48">
        <v>45600</v>
      </c>
      <c r="B216" s="8">
        <v>11.58</v>
      </c>
    </row>
    <row r="217" spans="1:2" x14ac:dyDescent="0.2">
      <c r="A217" s="48">
        <v>45601</v>
      </c>
      <c r="B217" s="8">
        <v>11.46</v>
      </c>
    </row>
    <row r="218" spans="1:2" x14ac:dyDescent="0.2">
      <c r="A218" s="48">
        <v>45602</v>
      </c>
      <c r="B218" s="8">
        <v>11.66</v>
      </c>
    </row>
    <row r="219" spans="1:2" x14ac:dyDescent="0.2">
      <c r="A219" s="48">
        <v>45603</v>
      </c>
      <c r="B219" s="8">
        <v>11.4</v>
      </c>
    </row>
    <row r="220" spans="1:2" x14ac:dyDescent="0.2">
      <c r="A220" s="48">
        <v>45604</v>
      </c>
      <c r="B220" s="8">
        <v>11.3</v>
      </c>
    </row>
    <row r="221" spans="1:2" x14ac:dyDescent="0.2">
      <c r="A221" s="48">
        <v>45607</v>
      </c>
      <c r="B221" s="8">
        <v>11.04</v>
      </c>
    </row>
    <row r="222" spans="1:2" x14ac:dyDescent="0.2">
      <c r="A222" s="48">
        <v>45608</v>
      </c>
      <c r="B222" s="8">
        <v>11.13</v>
      </c>
    </row>
    <row r="223" spans="1:2" x14ac:dyDescent="0.2">
      <c r="A223" s="48">
        <v>45609</v>
      </c>
      <c r="B223" s="8">
        <v>11.27</v>
      </c>
    </row>
    <row r="224" spans="1:2" x14ac:dyDescent="0.2">
      <c r="A224" s="48">
        <v>45610</v>
      </c>
      <c r="B224" s="8">
        <v>11.29</v>
      </c>
    </row>
    <row r="225" spans="1:2" x14ac:dyDescent="0.2">
      <c r="A225" s="48">
        <v>45611</v>
      </c>
      <c r="B225" s="8">
        <v>11.41</v>
      </c>
    </row>
    <row r="226" spans="1:2" x14ac:dyDescent="0.2">
      <c r="A226" s="48">
        <v>45614</v>
      </c>
      <c r="B226" s="8">
        <v>11.25</v>
      </c>
    </row>
    <row r="227" spans="1:2" x14ac:dyDescent="0.2">
      <c r="A227" s="48">
        <v>45615</v>
      </c>
      <c r="B227" s="8">
        <v>11.01</v>
      </c>
    </row>
    <row r="228" spans="1:2" x14ac:dyDescent="0.2">
      <c r="A228" s="48">
        <v>45616</v>
      </c>
      <c r="B228" s="8">
        <v>11.08</v>
      </c>
    </row>
    <row r="229" spans="1:2" x14ac:dyDescent="0.2">
      <c r="A229" s="48">
        <v>45617</v>
      </c>
      <c r="B229" s="8">
        <v>11.19</v>
      </c>
    </row>
    <row r="230" spans="1:2" x14ac:dyDescent="0.2">
      <c r="A230" s="48">
        <v>45618</v>
      </c>
      <c r="B230" s="8">
        <v>11.2</v>
      </c>
    </row>
    <row r="231" spans="1:2" x14ac:dyDescent="0.2">
      <c r="A231" s="48">
        <v>45621</v>
      </c>
      <c r="B231" s="8">
        <v>11.42</v>
      </c>
    </row>
    <row r="232" spans="1:2" x14ac:dyDescent="0.2">
      <c r="A232" s="48">
        <v>45622</v>
      </c>
      <c r="B232" s="8">
        <v>11.4</v>
      </c>
    </row>
    <row r="233" spans="1:2" x14ac:dyDescent="0.2">
      <c r="A233" s="48">
        <v>45623</v>
      </c>
      <c r="B233" s="8">
        <v>11.6</v>
      </c>
    </row>
    <row r="234" spans="1:2" x14ac:dyDescent="0.2">
      <c r="A234" s="48">
        <v>45624</v>
      </c>
      <c r="B234" s="8">
        <v>11.57</v>
      </c>
    </row>
    <row r="235" spans="1:2" x14ac:dyDescent="0.2">
      <c r="A235" s="48">
        <v>45625</v>
      </c>
      <c r="B235" s="8">
        <v>11.63</v>
      </c>
    </row>
    <row r="236" spans="1:2" x14ac:dyDescent="0.2">
      <c r="A236" s="48">
        <v>45628</v>
      </c>
      <c r="B236" s="8">
        <v>11.61</v>
      </c>
    </row>
    <row r="237" spans="1:2" x14ac:dyDescent="0.2">
      <c r="A237" s="48">
        <v>45629</v>
      </c>
      <c r="B237" s="8">
        <v>11.34</v>
      </c>
    </row>
    <row r="238" spans="1:2" x14ac:dyDescent="0.2">
      <c r="A238" s="48">
        <v>45630</v>
      </c>
      <c r="B238" s="8">
        <v>11.36</v>
      </c>
    </row>
    <row r="239" spans="1:2" x14ac:dyDescent="0.2">
      <c r="A239" s="48">
        <v>45631</v>
      </c>
      <c r="B239" s="8">
        <v>11.58</v>
      </c>
    </row>
    <row r="240" spans="1:2" x14ac:dyDescent="0.2">
      <c r="A240" s="48">
        <v>45632</v>
      </c>
      <c r="B240" s="8">
        <v>11.36</v>
      </c>
    </row>
    <row r="241" spans="1:2" x14ac:dyDescent="0.2">
      <c r="A241" s="48">
        <v>45635</v>
      </c>
      <c r="B241" s="8">
        <v>11.44</v>
      </c>
    </row>
    <row r="242" spans="1:2" x14ac:dyDescent="0.2">
      <c r="A242" s="48">
        <v>45636</v>
      </c>
      <c r="B242" s="8">
        <v>11.09</v>
      </c>
    </row>
    <row r="243" spans="1:2" x14ac:dyDescent="0.2">
      <c r="A243" s="48">
        <v>45637</v>
      </c>
      <c r="B243" s="8">
        <v>10.93</v>
      </c>
    </row>
    <row r="244" spans="1:2" x14ac:dyDescent="0.2">
      <c r="A244" s="48">
        <v>45638</v>
      </c>
      <c r="B244" s="8">
        <v>10.87</v>
      </c>
    </row>
    <row r="245" spans="1:2" x14ac:dyDescent="0.2">
      <c r="A245" s="48">
        <v>45639</v>
      </c>
      <c r="B245" s="8">
        <v>10.97</v>
      </c>
    </row>
    <row r="246" spans="1:2" x14ac:dyDescent="0.2">
      <c r="A246" s="48">
        <v>45642</v>
      </c>
      <c r="B246" s="8">
        <v>10.98</v>
      </c>
    </row>
    <row r="247" spans="1:2" x14ac:dyDescent="0.2">
      <c r="A247" s="48">
        <v>45643</v>
      </c>
      <c r="B247" s="8">
        <v>11.3</v>
      </c>
    </row>
    <row r="248" spans="1:2" x14ac:dyDescent="0.2">
      <c r="A248" s="48">
        <v>45644</v>
      </c>
      <c r="B248" s="8">
        <v>11.26</v>
      </c>
    </row>
    <row r="249" spans="1:2" x14ac:dyDescent="0.2">
      <c r="A249" s="48">
        <v>45645</v>
      </c>
      <c r="B249" s="8">
        <v>10.96</v>
      </c>
    </row>
    <row r="250" spans="1:2" x14ac:dyDescent="0.2">
      <c r="A250" s="48">
        <v>45646</v>
      </c>
      <c r="B250" s="8">
        <v>11.35</v>
      </c>
    </row>
    <row r="251" spans="1:2" x14ac:dyDescent="0.2">
      <c r="A251" s="48">
        <v>45649</v>
      </c>
      <c r="B251" s="8">
        <v>11.39</v>
      </c>
    </row>
    <row r="252" spans="1:2" x14ac:dyDescent="0.2">
      <c r="A252" s="48">
        <v>45650</v>
      </c>
      <c r="B252" s="8">
        <v>11.56</v>
      </c>
    </row>
    <row r="253" spans="1:2" x14ac:dyDescent="0.2">
      <c r="A253" s="48">
        <v>45653</v>
      </c>
      <c r="B253" s="8">
        <v>11.55</v>
      </c>
    </row>
    <row r="254" spans="1:2" x14ac:dyDescent="0.2">
      <c r="A254" s="48">
        <v>45656</v>
      </c>
      <c r="B254" s="8">
        <v>11.57</v>
      </c>
    </row>
    <row r="255" spans="1:2" x14ac:dyDescent="0.2">
      <c r="A255" s="48">
        <v>45657</v>
      </c>
      <c r="B255" s="8">
        <v>11.57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a5277c-2a0f-42c9-9be0-505a73ba38f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E256A78A66F348BDB4C1D86856CC11" ma:contentTypeVersion="11" ma:contentTypeDescription="Create a new document." ma:contentTypeScope="" ma:versionID="d76dc90771de3144c5adfcd4d1d0f57a">
  <xsd:schema xmlns:xsd="http://www.w3.org/2001/XMLSchema" xmlns:xs="http://www.w3.org/2001/XMLSchema" xmlns:p="http://schemas.microsoft.com/office/2006/metadata/properties" xmlns:ns3="54a5277c-2a0f-42c9-9be0-505a73ba38f2" targetNamespace="http://schemas.microsoft.com/office/2006/metadata/properties" ma:root="true" ma:fieldsID="47dff95fb5d6b64b3a61d61b3a318fea" ns3:_="">
    <xsd:import namespace="54a5277c-2a0f-42c9-9be0-505a73ba38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5277c-2a0f-42c9-9be0-505a73ba3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636C6-79F4-402A-8D46-842A2BD76E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9E9900-CA83-43FE-900B-E7CDF78D6DCC}">
  <ds:schemaRefs>
    <ds:schemaRef ds:uri="http://www.w3.org/XML/1998/namespace"/>
    <ds:schemaRef ds:uri="http://schemas.openxmlformats.org/package/2006/metadata/core-properties"/>
    <ds:schemaRef ds:uri="54a5277c-2a0f-42c9-9be0-505a73ba38f2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5C794CE-F07F-4B25-86EE-1A40837BA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5277c-2a0f-42c9-9be0-505a73ba38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Price History</vt:lpstr>
      <vt:lpstr>Stock vs volumn</vt:lpstr>
      <vt:lpstr>stockchart</vt:lpstr>
      <vt:lpstr>Capital vs Issued shares</vt:lpstr>
      <vt:lpstr>Dividend Yield</vt:lpstr>
      <vt:lpstr>Yearly Portfolio</vt:lpstr>
      <vt:lpstr>1xtrade</vt:lpstr>
      <vt:lpstr>Sheet2</vt:lpstr>
    </vt:vector>
  </TitlesOfParts>
  <Company>Morningstar Research (Thailand)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</dc:creator>
  <cp:lastModifiedBy>Kaung Khant Kyaw</cp:lastModifiedBy>
  <dcterms:created xsi:type="dcterms:W3CDTF">2025-03-03T12:29:04Z</dcterms:created>
  <dcterms:modified xsi:type="dcterms:W3CDTF">2025-03-19T04:22:33Z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0x01010063E256A78A66F348BDB4C1D86856CC11</vt:lpwstr>
  </property>
</Properties>
</file>